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180" yWindow="2550" windowWidth="22395" windowHeight="11295"/>
  </bookViews>
  <sheets>
    <sheet sheetId="2" name="26.6.2026" state="visible" r:id="rId4"/>
    <sheet sheetId="3" name="Unmapped" state="visible" r:id="rId5"/>
  </sheets>
  <definedNames>
    <definedName name="_xlnm.Print_Area" localSheetId="0">'26.6.2026'!$B1:$R84</definedName>
    <definedName name="_xlnm.Print_Titles" localSheetId="0">'26.6.2026'!$2:$5</definedName>
  </definedNames>
  <calcPr calcId="171027"/>
</workbook>
</file>

<file path=xl/sharedStrings.xml><?xml version="1.0" encoding="utf-8"?>
<sst xmlns="http://schemas.openxmlformats.org/spreadsheetml/2006/main" count="170" uniqueCount="144">
  <si>
    <t>LAPORAN PERMOHONAN BANTUAN YANG BELUM DIPERAKU</t>
  </si>
  <si>
    <t>DATA DIKEMASKINI SEHINGGA 25 JUN 2026</t>
  </si>
  <si>
    <t>KATEGORI</t>
  </si>
  <si>
    <t>BIL</t>
  </si>
  <si>
    <t xml:space="preserve">SKIM BANTUAN </t>
  </si>
  <si>
    <t>PERINCIAN SKIM BANTUAN (i-Zakat)</t>
  </si>
  <si>
    <t>TAHUN 2026</t>
  </si>
  <si>
    <t>JAN</t>
  </si>
  <si>
    <t>FEB</t>
  </si>
  <si>
    <t>MAC</t>
  </si>
  <si>
    <t>APRIL</t>
  </si>
  <si>
    <t>MEI</t>
  </si>
  <si>
    <t>JUN</t>
  </si>
  <si>
    <t>JULAI</t>
  </si>
  <si>
    <t>OGOS</t>
  </si>
  <si>
    <t>SEPT</t>
  </si>
  <si>
    <t>OKT</t>
  </si>
  <si>
    <t>NOV</t>
  </si>
  <si>
    <t>DIS</t>
  </si>
  <si>
    <t>JUMLAH</t>
  </si>
  <si>
    <t>KLUSTER KEBAJIKAN</t>
  </si>
  <si>
    <t>BANTUAN SEKURITI SOSIAL</t>
  </si>
  <si>
    <t>BANTUAN PERSEDIAAN RAMADAN DAN AIDILFITRI</t>
  </si>
  <si>
    <t>BANTUAN  AIDILFITRI</t>
  </si>
  <si>
    <t>BANTUAN PERSEDIAAN AIDILFITRI</t>
  </si>
  <si>
    <t>BANTUAN PERSEDIAAN RAMADAN</t>
  </si>
  <si>
    <t>BANTUAN SARA HIDUP</t>
  </si>
  <si>
    <t>BANTUAN MUSIBAH</t>
  </si>
  <si>
    <t>BANTUAN KECEMASAN</t>
  </si>
  <si>
    <t>BANTUAN KECEMASAN (WANG PANJAR)</t>
  </si>
  <si>
    <t>BANTUAN PEMBEKALAN BARANGAN KEPERLUAN ASASI</t>
  </si>
  <si>
    <t>BANTUAN KHAIRAT ASNAF</t>
  </si>
  <si>
    <t>BANTUAN PERKAHWINAN</t>
  </si>
  <si>
    <t xml:space="preserve">BANTUAN TAMBANG DAN KEPERLUAN DIRI </t>
  </si>
  <si>
    <t>BANTUAN TAMBANG DALAM NEGERI</t>
  </si>
  <si>
    <t>BANTUAN TAMBANG DAN KEPERLUAN DIRI LUAR NEGERI</t>
  </si>
  <si>
    <t>BANTUAN MENYELESAIKAN HUTANG</t>
  </si>
  <si>
    <t>BANTUAN MENYELESAIKAN HUTANG MELALUI AGENSI</t>
  </si>
  <si>
    <t>BANTUAN GUAMAN SYARIE</t>
  </si>
  <si>
    <t>BANTUAN INSENTIF KHAS</t>
  </si>
  <si>
    <t>KLUSTER PERLINDUNGAN</t>
  </si>
  <si>
    <t>BANTUAN DEPOSIT SEWA RUMAH &amp; SEWA RUMAH BULANAN / PUSAT PERLINDUNGAN</t>
  </si>
  <si>
    <t>BANTUAN DEPOSIT SEWA RUMAH</t>
  </si>
  <si>
    <t>BANTUAN SEWA RUMAH BULANAN</t>
  </si>
  <si>
    <t>BANTUAN MEMBINA DAN MEMBAIKI RUMAH</t>
  </si>
  <si>
    <t>BANTUAN MEMBAIKI RUMAH</t>
  </si>
  <si>
    <t>BANTUAN MEMBINA RUMAH</t>
  </si>
  <si>
    <t>BANTUAN DEPOSIT PEMBELIAN RUMAH</t>
  </si>
  <si>
    <t>BANTUAN PENDAHULUAN PEMBELIAN RUMAH</t>
  </si>
  <si>
    <t>KLUSTER PERUBATAN</t>
  </si>
  <si>
    <t>BANTUAN ORANG KELAINAN UPAYA (OKU)</t>
  </si>
  <si>
    <t>BANTUAN KHAS KANAK-KANAK OKU</t>
  </si>
  <si>
    <t>BANTUAN PERUBATAN AM</t>
  </si>
  <si>
    <t>BANTUAN PERUBATAN AM (PEMBEDAHAN)</t>
  </si>
  <si>
    <t>BANTUAN PERUBATAN AM (PAMPERS)</t>
  </si>
  <si>
    <t>BANTUAN PERUBATAN AM (AM/GENERAL)</t>
  </si>
  <si>
    <t>BANTUAN PERUBATAN AM (SUSU)</t>
  </si>
  <si>
    <t>BANTUAN PERALATAN KESIHATAN</t>
  </si>
  <si>
    <t>BANTUAN DIALISIS</t>
  </si>
  <si>
    <t>KLUSTER PENDIDIKAN</t>
  </si>
  <si>
    <t>BANTUAN AM PELAJARAN IPT / PERSEDIAAN IPT</t>
  </si>
  <si>
    <t>BANTUAN AM PELAJARAN IPT DALAM NEGERI</t>
  </si>
  <si>
    <t>BANTUAN AM PELAJARAN IPT LUAR NEGERI</t>
  </si>
  <si>
    <t>BANTUAN PERSEDIAAN IPT</t>
  </si>
  <si>
    <t>BANTUAN GALAKAN HAFAZ AL QURAN</t>
  </si>
  <si>
    <t>BANTUAN GALAKAN HAFAZ AL-QURAN</t>
  </si>
  <si>
    <t>BANTUAN PEMANTAPAN AGAMA ISLAM</t>
  </si>
  <si>
    <t>BANTUAN PELAJARAN KOLEJ UNIVERSITI ANTARABANGSA PICOMS (UCMI)</t>
  </si>
  <si>
    <t>BANTUAN PELAJAR PICOMS</t>
  </si>
  <si>
    <t>BANTUAN PAKAIAN DAN PERALATAN PERSEKOLAHAN</t>
  </si>
  <si>
    <t>BANTUAN PERALATAN PERSEKOLAHAN</t>
  </si>
  <si>
    <t>BANTUAN BIASISWA INSENTIF KHAS PELAJAR CEMERLANG</t>
  </si>
  <si>
    <t>BANTUAN BIASISWA DALAM NEGERI</t>
  </si>
  <si>
    <t>BANTUAN BIASISWA LUAR NEGERI</t>
  </si>
  <si>
    <t>BANTUAN KOMPUTER RIBA KEPADA MAHASISWA</t>
  </si>
  <si>
    <t>BANTUAN AM PERSEKOLAHAN / PERSEDIAAN SEKOLAH BERASRAMA PERSEDIAAN SEKOLAH</t>
  </si>
  <si>
    <t>BANTUAN PERSEDIAAN SEKOLAH</t>
  </si>
  <si>
    <t>BANTUAN AM PERSEKOLAHAN</t>
  </si>
  <si>
    <t>BANTUAN KECEMASAN PERSEKOLAHAN</t>
  </si>
  <si>
    <t>BANTUAN PENYELESAIAN PEMBIAYAAN PENDIDIKAN</t>
  </si>
  <si>
    <t>BANTUAN PENYELESAIAN PEMBIAYAAN PINJAMAN PENDIDIKAN</t>
  </si>
  <si>
    <t>BANTUAN BIASISWA SEKOLAH</t>
  </si>
  <si>
    <t>BANTUAN SKIM PELABURAN SSPN/PTPTN</t>
  </si>
  <si>
    <t>BANTUAN TUISYEN</t>
  </si>
  <si>
    <t>BANTUAN PELAJAR KOLEJ PROFESIONAL BAITULMAL KUALA LUMPUR (KPBKL)</t>
  </si>
  <si>
    <t>BANTUAN PELAJAR KPBKL</t>
  </si>
  <si>
    <t>KLUSTER PEMBANGUNAN UMMAH</t>
  </si>
  <si>
    <t>BANTUAN INSTITUT TAHFIZ DAN RUMAH PERLINDUNGAN</t>
  </si>
  <si>
    <t>BANTUAN RUMAH PERLINDUNGAN</t>
  </si>
  <si>
    <t>BANTUAN KEPADA INSTITUSI TAHFIZ</t>
  </si>
  <si>
    <t>BANTUAN KEPADA AGENSI / BADAN BUKAN KERAJAAN (NGO)</t>
  </si>
  <si>
    <t>BANTUAN KEPADA TABUNG KEBAJIKAN HOSPITAL</t>
  </si>
  <si>
    <t xml:space="preserve">PEJABAT MUFTI  </t>
  </si>
  <si>
    <t>BANTUAN KHAS KEPADA NEGARA/NEGERI MUSIBAH</t>
  </si>
  <si>
    <t>PEMBERIAN DAN BANTUAN KPD SEK RENDAH</t>
  </si>
  <si>
    <t>PEMBERIAN DAN BANTUAN KPD SEK MENENGAH</t>
  </si>
  <si>
    <t>PEMBERIAN DAN BANTUAN KPD IPT (IPT Only)</t>
  </si>
  <si>
    <t>PEMBERIAN PERALATAN SEKOLAH, TADIKA DAN KELAS AGAMA</t>
  </si>
  <si>
    <t>BANTUAN AKTIVITI DAKWAH DAN KEBAJIKAN</t>
  </si>
  <si>
    <t>BANTUAN PROGRAM UNTUK KEBAJIKAN</t>
  </si>
  <si>
    <t>BANTUAN PERTUBUHAN SUKARELA/KEBAJIKAN</t>
  </si>
  <si>
    <t>BANTUAN PERALATAN SURAU/MASJID</t>
  </si>
  <si>
    <t>BANTUAN AKTIVITI SURAU/MASJID</t>
  </si>
  <si>
    <t>BANTUAN MEMBINA/BAIKPULIH SURAU/MASJID</t>
  </si>
  <si>
    <t>BANTUAN KEPADA AGENSI / BADAN BUKAN KERAJAAN (NPO)</t>
  </si>
  <si>
    <t>JAWI-BANTUAN AKTIVITI DAKWAH &amp; KEBAJIKAN</t>
  </si>
  <si>
    <t>PEMBERIAN DAN BANTUAN KPD SMA</t>
  </si>
  <si>
    <t>BANTUAN MENYELESAIKAN HUTANG MELALUI AGENSI (NPO)</t>
  </si>
  <si>
    <t>BANTUAN PEMBERIAN SAGUHATI/CENDERAHATI</t>
  </si>
  <si>
    <t>KLUSTER EKONOMI</t>
  </si>
  <si>
    <t>INSENTIF MODAL / PERNIAGAAN</t>
  </si>
  <si>
    <t>INSENTIF MODAL PERNIAGAAN</t>
  </si>
  <si>
    <t>BANTUAN PERNIAGAAN DAN BIMBINGAN KEUSAHAWANAN</t>
  </si>
  <si>
    <t>INSENTIF MODAL PERTANIAN / PENTERNAKAN</t>
  </si>
  <si>
    <t>INSENTIF MODAL PERIKANAN</t>
  </si>
  <si>
    <t>INSENTIF MODAL PENTERNAKAN / PERTANIAN</t>
  </si>
  <si>
    <t>BANTUAN PEMBELIAN KENDERAAN PERNIAGAAN DAN PERKHIDMATAN</t>
  </si>
  <si>
    <t>BANTUAN MOTOSIKAL ORANG KURANG UPAYA (OKU)</t>
  </si>
  <si>
    <t>BANTUAN MOTOSIKAL OKU</t>
  </si>
  <si>
    <t xml:space="preserve">BANTUAN DEPOSIT SEWA BELI TEKSI </t>
  </si>
  <si>
    <t>BANTUAN PERIKANAN</t>
  </si>
  <si>
    <t>PROGRAM LATIHAN KEMAHIRAN INDUSTRI</t>
  </si>
  <si>
    <t>Skim Bantuan</t>
  </si>
  <si>
    <t>Nama Pemohon</t>
  </si>
  <si>
    <t>ID Pemohon</t>
  </si>
  <si>
    <t>Tarikh Mohon</t>
  </si>
  <si>
    <t>PROGRAM KEROHANIAN</t>
  </si>
  <si>
    <t>NOR SHAHPUTRI SHAZWANA BINTI MOHD RIDZUAN</t>
  </si>
  <si>
    <t>050709140816</t>
  </si>
  <si>
    <t>Mar 4, 2026, 3:36 PM</t>
  </si>
  <si>
    <t>BANTUAN INSENTIF KHAS PELAJAR CEMERLANG</t>
  </si>
  <si>
    <t>BADRUL HAZIEM BIN BADRUL AMAN</t>
  </si>
  <si>
    <t>070907140073</t>
  </si>
  <si>
    <t>Jun 16, 2026, 9:44 AM</t>
  </si>
  <si>
    <t>MUHAMMAD RAZINUL ADLIN BIN SOAIDI</t>
  </si>
  <si>
    <t>010910140571</t>
  </si>
  <si>
    <t>Jun 16, 2026, 11:21 AM</t>
  </si>
  <si>
    <t>QISTINA AISYAH BINTI AMRAN</t>
  </si>
  <si>
    <t>070416100456</t>
  </si>
  <si>
    <t>Jun 19, 2026, 10:44 AM</t>
  </si>
  <si>
    <t>PROGRAM KEUSAHAWANAN ORGANISASI (NPO)</t>
  </si>
  <si>
    <t>ALIJAH BINTI ABIDIN</t>
  </si>
  <si>
    <t>700609125792</t>
  </si>
  <si>
    <t>Jun 24, 2026, 2:29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</si>
</sst>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color rgb="FF1F2933"/>
      <family val="2"/>
      <sz val="12"/>
      <name val="Arial"/>
    </font>
    <font>
      <b/>
      <color rgb="FFFFFFFF"/>
      <family val="2"/>
      <sz val="16"/>
      <name val="Arial"/>
    </font>
    <font>
      <b/>
      <i/>
      <color rgb="FF1F4E78"/>
      <family val="2"/>
      <sz val="16"/>
      <name val="Arial"/>
    </font>
    <font>
      <b/>
      <color rgb="FFFFFFFF"/>
      <family val="2"/>
      <sz val="12"/>
      <name val="Arial"/>
    </font>
    <font>
      <b/>
      <color rgb="FF1F2933"/>
      <family val="2"/>
      <sz val="12"/>
      <name val="Arial"/>
    </font>
    <font>
      <b/>
      <color rgb="FF1F4E78"/>
      <family val="2"/>
      <sz val="20"/>
      <name val="Arial"/>
    </font>
    <font>
      <b/>
      <family val="2"/>
      <sz val="12"/>
      <name val="Arial"/>
    </font>
    <font>
      <b/>
      <color rgb="FFFF0000"/>
      <family val="2"/>
      <sz val="12"/>
      <name val="Arial"/>
    </font>
    <font>
      <b/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  <border>
      <left style="medium">
        <color rgb="FF1F4E78"/>
      </left>
      <right/>
      <top/>
      <bottom/>
      <diagonal/>
    </border>
    <border>
      <left style="thin">
        <color rgb="FFD7DEE6"/>
      </left>
      <right/>
      <top/>
      <bottom style="thin">
        <color rgb="FFD7DEE6"/>
      </bottom>
      <diagonal/>
    </border>
    <border>
      <left style="thin">
        <color rgb="FFD7DEE6"/>
      </left>
      <right style="thin">
        <color rgb="FFD7DEE6"/>
      </right>
      <top style="medium">
        <color rgb="FF1F4E78"/>
      </top>
      <bottom/>
      <diagonal/>
    </border>
    <border>
      <left style="thin">
        <color rgb="FFD7DEE6"/>
      </left>
      <right/>
      <top style="medium">
        <color rgb="FF1F4E78"/>
      </top>
      <bottom style="medium">
        <color rgb="FF1F4E78"/>
      </bottom>
      <diagonal/>
    </border>
    <border>
      <left style="thin">
        <color rgb="FFD7DEE6"/>
      </left>
      <right style="thin">
        <color rgb="FFD7DEE6"/>
      </right>
      <top/>
      <bottom style="thin">
        <color indexed="64"/>
      </bottom>
      <diagonal/>
    </border>
    <border>
      <left style="thin">
        <color rgb="FFD7DEE6"/>
      </left>
      <right/>
      <top style="thin">
        <color rgb="FFD7DEE6"/>
      </top>
      <bottom style="thin">
        <color rgb="FFD7DE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7DEE6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horizontal="center" vertical="top" wrapText="1"/>
    </xf>
    <xf numFmtId="1" fontId="6" fillId="4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top" wrapText="1"/>
    </xf>
    <xf numFmtId="1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left" vertical="top" wrapText="1"/>
    </xf>
    <xf numFmtId="3" fontId="3" fillId="6" borderId="9" xfId="0" applyNumberFormat="1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vertical="top" wrapText="1"/>
    </xf>
    <xf numFmtId="0" fontId="3" fillId="6" borderId="10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vertical="top" wrapText="1"/>
    </xf>
    <xf numFmtId="0" fontId="3" fillId="6" borderId="8" xfId="0" applyFont="1" applyFill="1" applyBorder="1" applyAlignment="1">
      <alignment horizontal="left" vertical="top" wrapText="1"/>
    </xf>
    <xf numFmtId="0" fontId="7" fillId="6" borderId="12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horizontal="left" vertical="top" wrapText="1"/>
    </xf>
    <xf numFmtId="0" fontId="3" fillId="6" borderId="14" xfId="0" applyFont="1" applyFill="1" applyBorder="1" applyAlignment="1">
      <alignment horizontal="left" vertical="top" wrapText="1"/>
    </xf>
    <xf numFmtId="0" fontId="3" fillId="6" borderId="15" xfId="0" applyFont="1" applyFill="1" applyBorder="1" applyAlignment="1">
      <alignment horizontal="left" vertical="top" wrapText="1"/>
    </xf>
    <xf numFmtId="0" fontId="3" fillId="6" borderId="11" xfId="0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top" wrapText="1"/>
    </xf>
    <xf numFmtId="0" fontId="3" fillId="7" borderId="8" xfId="0" applyFont="1" applyFill="1" applyBorder="1" applyAlignment="1">
      <alignment vertical="top" wrapText="1"/>
    </xf>
    <xf numFmtId="0" fontId="3" fillId="7" borderId="9" xfId="0" applyFont="1" applyFill="1" applyBorder="1" applyAlignment="1">
      <alignment horizontal="left" vertical="top" wrapText="1"/>
    </xf>
    <xf numFmtId="3" fontId="3" fillId="7" borderId="9" xfId="0" applyNumberFormat="1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top" wrapText="1"/>
    </xf>
    <xf numFmtId="0" fontId="3" fillId="7" borderId="11" xfId="0" applyFont="1" applyFill="1" applyBorder="1" applyAlignment="1">
      <alignment vertical="top" wrapText="1"/>
    </xf>
    <xf numFmtId="0" fontId="7" fillId="7" borderId="11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horizontal="center" vertical="top" wrapText="1"/>
    </xf>
    <xf numFmtId="0" fontId="7" fillId="8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top" wrapText="1"/>
    </xf>
    <xf numFmtId="0" fontId="3" fillId="8" borderId="8" xfId="0" applyFont="1" applyFill="1" applyBorder="1" applyAlignment="1">
      <alignment vertical="top" wrapText="1"/>
    </xf>
    <xf numFmtId="0" fontId="3" fillId="8" borderId="9" xfId="0" applyFont="1" applyFill="1" applyBorder="1" applyAlignment="1">
      <alignment horizontal="left" vertical="top" wrapText="1"/>
    </xf>
    <xf numFmtId="3" fontId="3" fillId="8" borderId="9" xfId="0" applyNumberFormat="1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center" vertical="top" wrapText="1"/>
    </xf>
    <xf numFmtId="0" fontId="3" fillId="8" borderId="11" xfId="0" applyFont="1" applyFill="1" applyBorder="1" applyAlignment="1">
      <alignment vertical="top" wrapText="1"/>
    </xf>
    <xf numFmtId="0" fontId="3" fillId="8" borderId="10" xfId="0" applyFont="1" applyFill="1" applyBorder="1" applyAlignment="1">
      <alignment horizontal="center" vertical="top" wrapText="1"/>
    </xf>
    <xf numFmtId="0" fontId="3" fillId="8" borderId="10" xfId="0" applyFont="1" applyFill="1" applyBorder="1" applyAlignment="1">
      <alignment vertical="top" wrapText="1"/>
    </xf>
    <xf numFmtId="0" fontId="1" fillId="8" borderId="0" xfId="0" applyFont="1" applyFill="1" applyAlignment="1">
      <alignment horizontal="center" vertical="top"/>
    </xf>
    <xf numFmtId="0" fontId="3" fillId="8" borderId="9" xfId="0" applyFont="1" applyFill="1" applyBorder="1" applyAlignment="1">
      <alignment horizontal="center" vertical="top" wrapText="1"/>
    </xf>
    <xf numFmtId="0" fontId="3" fillId="8" borderId="9" xfId="0" applyFont="1" applyFill="1" applyBorder="1" applyAlignment="1">
      <alignment vertical="top" wrapText="1"/>
    </xf>
    <xf numFmtId="0" fontId="3" fillId="8" borderId="11" xfId="0" applyFont="1" applyFill="1" applyBorder="1" applyAlignment="1">
      <alignment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top" wrapText="1"/>
    </xf>
    <xf numFmtId="0" fontId="3" fillId="9" borderId="8" xfId="0" applyFont="1" applyFill="1" applyBorder="1" applyAlignment="1">
      <alignment vertical="top" wrapText="1"/>
    </xf>
    <xf numFmtId="0" fontId="3" fillId="9" borderId="9" xfId="0" applyFont="1" applyFill="1" applyBorder="1" applyAlignment="1">
      <alignment horizontal="left" vertical="top" wrapText="1"/>
    </xf>
    <xf numFmtId="3" fontId="3" fillId="9" borderId="9" xfId="0" applyNumberFormat="1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vertical="top" wrapText="1"/>
    </xf>
    <xf numFmtId="0" fontId="3" fillId="9" borderId="11" xfId="0" applyFont="1" applyFill="1" applyBorder="1" applyAlignment="1">
      <alignment horizontal="center" vertical="top" wrapText="1"/>
    </xf>
    <xf numFmtId="0" fontId="3" fillId="9" borderId="11" xfId="0" applyFont="1" applyFill="1" applyBorder="1" applyAlignment="1">
      <alignment vertical="top" wrapText="1"/>
    </xf>
    <xf numFmtId="0" fontId="3" fillId="9" borderId="9" xfId="0" applyFont="1" applyFill="1" applyBorder="1" applyAlignment="1">
      <alignment horizontal="center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12" xfId="0" applyFont="1" applyFill="1" applyBorder="1" applyAlignment="1">
      <alignment vertical="center" wrapText="1"/>
    </xf>
    <xf numFmtId="0" fontId="3" fillId="9" borderId="13" xfId="0" applyFont="1" applyFill="1" applyBorder="1" applyAlignment="1">
      <alignment horizontal="left" vertical="top" wrapText="1"/>
    </xf>
    <xf numFmtId="0" fontId="3" fillId="9" borderId="14" xfId="0" applyFont="1" applyFill="1" applyBorder="1" applyAlignment="1">
      <alignment horizontal="left" vertical="top" wrapText="1"/>
    </xf>
    <xf numFmtId="0" fontId="3" fillId="9" borderId="16" xfId="0" applyFont="1" applyFill="1" applyBorder="1" applyAlignment="1">
      <alignment horizontal="left" vertical="top" wrapText="1"/>
    </xf>
    <xf numFmtId="0" fontId="3" fillId="9" borderId="15" xfId="0" applyFont="1" applyFill="1" applyBorder="1" applyAlignment="1">
      <alignment horizontal="left" vertical="top" wrapText="1"/>
    </xf>
    <xf numFmtId="0" fontId="3" fillId="9" borderId="11" xfId="0" applyFont="1" applyFill="1" applyBorder="1" applyAlignment="1">
      <alignment horizontal="left" vertical="top" wrapText="1"/>
    </xf>
    <xf numFmtId="0" fontId="3" fillId="9" borderId="11" xfId="0" applyFont="1" applyFill="1" applyBorder="1" applyAlignment="1">
      <alignment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top" wrapText="1"/>
    </xf>
    <xf numFmtId="0" fontId="3" fillId="10" borderId="8" xfId="0" applyFont="1" applyFill="1" applyBorder="1" applyAlignment="1">
      <alignment vertical="top" wrapText="1"/>
    </xf>
    <xf numFmtId="0" fontId="3" fillId="10" borderId="9" xfId="0" applyFont="1" applyFill="1" applyBorder="1" applyAlignment="1">
      <alignment horizontal="left" vertical="top" wrapText="1"/>
    </xf>
    <xf numFmtId="3" fontId="3" fillId="10" borderId="9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horizontal="center" vertical="top" wrapText="1"/>
    </xf>
    <xf numFmtId="0" fontId="3" fillId="10" borderId="11" xfId="0" applyFont="1" applyFill="1" applyBorder="1" applyAlignment="1">
      <alignment vertical="top" wrapText="1"/>
    </xf>
    <xf numFmtId="0" fontId="3" fillId="10" borderId="10" xfId="0" applyFont="1" applyFill="1" applyBorder="1" applyAlignment="1">
      <alignment horizontal="center" vertical="top" wrapText="1"/>
    </xf>
    <xf numFmtId="0" fontId="3" fillId="10" borderId="10" xfId="0" applyFont="1" applyFill="1" applyBorder="1" applyAlignment="1">
      <alignment vertical="top" wrapText="1"/>
    </xf>
    <xf numFmtId="0" fontId="7" fillId="11" borderId="8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top" wrapText="1"/>
    </xf>
    <xf numFmtId="0" fontId="3" fillId="11" borderId="8" xfId="0" applyFont="1" applyFill="1" applyBorder="1" applyAlignment="1">
      <alignment vertical="top" wrapText="1"/>
    </xf>
    <xf numFmtId="0" fontId="3" fillId="11" borderId="9" xfId="0" applyFont="1" applyFill="1" applyBorder="1" applyAlignment="1">
      <alignment horizontal="left" vertical="top" wrapText="1"/>
    </xf>
    <xf numFmtId="3" fontId="3" fillId="11" borderId="9" xfId="0" applyNumberFormat="1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vertical="center" wrapText="1"/>
    </xf>
    <xf numFmtId="0" fontId="3" fillId="11" borderId="16" xfId="0" applyFont="1" applyFill="1" applyBorder="1" applyAlignment="1">
      <alignment horizontal="center" vertical="top" wrapText="1"/>
    </xf>
    <xf numFmtId="0" fontId="3" fillId="11" borderId="10" xfId="0" applyFont="1" applyFill="1" applyBorder="1" applyAlignment="1">
      <alignment vertical="top" wrapText="1"/>
    </xf>
    <xf numFmtId="0" fontId="3" fillId="11" borderId="10" xfId="0" applyFont="1" applyFill="1" applyBorder="1" applyAlignment="1">
      <alignment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left" vertical="top" wrapText="1"/>
    </xf>
    <xf numFmtId="0" fontId="3" fillId="11" borderId="18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vertical="top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left" vertical="top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8" fillId="12" borderId="19" xfId="0" applyFont="1" applyFill="1" applyBorder="1" applyAlignment="1">
      <alignment horizontal="center" vertical="center" wrapText="1"/>
    </xf>
    <xf numFmtId="3" fontId="9" fillId="12" borderId="9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42"/>
  <sheetViews>
    <sheetView workbookViewId="0" showGridLines="0" zoomScale="60" zoomScaleNormal="60">
      <selection activeCell="H82" sqref="H82"/>
    </sheetView>
  </sheetViews>
  <sheetFormatPr defaultRowHeight="50.1" outlineLevelRow="0" outlineLevelCol="0" x14ac:dyDescent="0.25" defaultColWidth="9.140625" customHeight="1"/>
  <cols>
    <col min="1" max="1" width="3" style="1" customWidth="1"/>
    <col min="2" max="2" width="24" style="2" customWidth="1"/>
    <col min="3" max="3" width="12.85546875" style="3" customWidth="1"/>
    <col min="4" max="4" width="42.28515625" style="4" customWidth="1"/>
    <col min="5" max="5" width="50.28515625" style="5" customWidth="1"/>
    <col min="6" max="17" width="10.42578125" style="1" customWidth="1"/>
    <col min="18" max="18" width="15.85546875" style="1" customWidth="1"/>
    <col min="19" max="22" width="20.7109375" style="1" customWidth="1"/>
    <col min="23" max="23" width="49.28515625" style="1" customWidth="1"/>
    <col min="24" max="31" width="20.7109375" style="1" customWidth="1"/>
    <col min="32" max="32" width="35.85546875" style="1" customWidth="1"/>
    <col min="33" max="16384" width="9.140625" style="1" customWidth="1"/>
  </cols>
  <sheetData>
    <row r="1" ht="50.1" customHeight="1" spans="1:18" x14ac:dyDescent="0.25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50.1" customHeight="1" spans="1:18" x14ac:dyDescent="0.25">
      <c r="A2" s="6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0.1" customHeight="1" spans="1:18" x14ac:dyDescent="0.25">
      <c r="A3" s="6"/>
      <c r="B3" s="6"/>
      <c r="C3" s="9"/>
      <c r="D3" s="10"/>
      <c r="E3" s="1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50.1" customHeight="1" spans="1:18" x14ac:dyDescent="0.25">
      <c r="A4" s="6"/>
      <c r="B4" s="11" t="s">
        <v>2</v>
      </c>
      <c r="C4" s="12" t="s">
        <v>3</v>
      </c>
      <c r="D4" s="11" t="s">
        <v>4</v>
      </c>
      <c r="E4" s="11" t="s">
        <v>5</v>
      </c>
      <c r="F4" s="13" t="s">
        <v>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ht="50.1" customHeight="1" spans="1:18" x14ac:dyDescent="0.25">
      <c r="A5" s="6"/>
      <c r="B5" s="14"/>
      <c r="C5" s="15"/>
      <c r="D5" s="16"/>
      <c r="E5" s="16"/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  <c r="L5" s="17" t="s">
        <v>13</v>
      </c>
      <c r="M5" s="17" t="s">
        <v>14</v>
      </c>
      <c r="N5" s="17" t="s">
        <v>15</v>
      </c>
      <c r="O5" s="17" t="s">
        <v>16</v>
      </c>
      <c r="P5" s="17" t="s">
        <v>17</v>
      </c>
      <c r="Q5" s="17" t="s">
        <v>18</v>
      </c>
      <c r="R5" s="18" t="s">
        <v>19</v>
      </c>
    </row>
    <row r="6" ht="50.1" customHeight="1" spans="1:18" x14ac:dyDescent="0.25">
      <c r="A6" s="19"/>
      <c r="B6" s="20" t="s">
        <v>20</v>
      </c>
      <c r="C6" s="21">
        <v>1</v>
      </c>
      <c r="D6" s="22" t="s">
        <v>21</v>
      </c>
      <c r="E6" s="22" t="s">
        <v>21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>
        <f>SUM(F6:Q6)</f>
      </c>
    </row>
    <row r="7" ht="50.1" customHeight="1" spans="1:18" x14ac:dyDescent="0.25">
      <c r="A7" s="19"/>
      <c r="B7" s="24"/>
      <c r="C7" s="25">
        <v>2</v>
      </c>
      <c r="D7" s="26" t="s">
        <v>22</v>
      </c>
      <c r="E7" s="22" t="s">
        <v>23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/>
      <c r="M7" s="23"/>
      <c r="N7" s="23"/>
      <c r="O7" s="23"/>
      <c r="P7" s="23"/>
      <c r="Q7" s="23"/>
      <c r="R7" s="23">
        <f>SUM(F7:Q7)</f>
      </c>
    </row>
    <row r="8" ht="50.1" customHeight="1" spans="1:18" x14ac:dyDescent="0.25">
      <c r="A8" s="19"/>
      <c r="B8" s="24"/>
      <c r="C8" s="27"/>
      <c r="D8" s="28"/>
      <c r="E8" s="22" t="s">
        <v>24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/>
      <c r="M8" s="23"/>
      <c r="N8" s="23"/>
      <c r="O8" s="23"/>
      <c r="P8" s="23"/>
      <c r="Q8" s="23"/>
      <c r="R8" s="23">
        <f>SUM(F8:Q8)</f>
      </c>
    </row>
    <row r="9" ht="50.1" customHeight="1" spans="1:18" x14ac:dyDescent="0.25">
      <c r="A9" s="19"/>
      <c r="B9" s="24"/>
      <c r="C9" s="29"/>
      <c r="D9" s="30"/>
      <c r="E9" s="22" t="s">
        <v>25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/>
      <c r="M9" s="23"/>
      <c r="N9" s="23"/>
      <c r="O9" s="23"/>
      <c r="P9" s="23"/>
      <c r="Q9" s="23"/>
      <c r="R9" s="23">
        <f>SUM(F9:Q9)</f>
      </c>
    </row>
    <row r="10" ht="50.1" customHeight="1" spans="1:18" x14ac:dyDescent="0.25">
      <c r="A10" s="19"/>
      <c r="B10" s="24"/>
      <c r="C10" s="21">
        <v>3</v>
      </c>
      <c r="D10" s="22" t="s">
        <v>26</v>
      </c>
      <c r="E10" s="22" t="s">
        <v>26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645</v>
      </c>
      <c r="L10" s="23"/>
      <c r="M10" s="23"/>
      <c r="N10" s="23"/>
      <c r="O10" s="23"/>
      <c r="P10" s="23"/>
      <c r="Q10" s="23"/>
      <c r="R10" s="23">
        <f>SUM(F10:Q10)</f>
      </c>
    </row>
    <row r="11" ht="50.1" customHeight="1" spans="1:18" x14ac:dyDescent="0.25">
      <c r="A11" s="19"/>
      <c r="B11" s="24"/>
      <c r="C11" s="25">
        <v>4</v>
      </c>
      <c r="D11" s="31" t="s">
        <v>27</v>
      </c>
      <c r="E11" s="22" t="s">
        <v>27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4</v>
      </c>
      <c r="L11" s="23"/>
      <c r="M11" s="23"/>
      <c r="N11" s="23"/>
      <c r="O11" s="23"/>
      <c r="P11" s="23"/>
      <c r="Q11" s="23"/>
      <c r="R11" s="23">
        <f>SUM(F11:Q11)</f>
      </c>
    </row>
    <row r="12" ht="50.1" customHeight="1" spans="1:18" x14ac:dyDescent="0.25">
      <c r="A12" s="19"/>
      <c r="B12" s="32"/>
      <c r="C12" s="25">
        <v>5</v>
      </c>
      <c r="D12" s="33" t="s">
        <v>28</v>
      </c>
      <c r="E12" s="34" t="s">
        <v>28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1</v>
      </c>
      <c r="L12" s="23"/>
      <c r="M12" s="23"/>
      <c r="N12" s="23"/>
      <c r="O12" s="23"/>
      <c r="P12" s="23"/>
      <c r="Q12" s="23"/>
      <c r="R12" s="23">
        <f>SUM(F12:Q12)</f>
      </c>
    </row>
    <row r="13" ht="50.1" customHeight="1" spans="1:18" x14ac:dyDescent="0.25">
      <c r="A13" s="19"/>
      <c r="B13" s="32"/>
      <c r="C13" s="29"/>
      <c r="D13" s="35"/>
      <c r="E13" s="34" t="s">
        <v>29</v>
      </c>
      <c r="F13" s="23">
        <v>2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/>
      <c r="M13" s="23"/>
      <c r="N13" s="23"/>
      <c r="O13" s="23"/>
      <c r="P13" s="23"/>
      <c r="Q13" s="23"/>
      <c r="R13" s="23">
        <f>SUM(F13:Q13)</f>
      </c>
    </row>
    <row r="14" ht="50.1" customHeight="1" spans="1:18" x14ac:dyDescent="0.25">
      <c r="A14" s="19"/>
      <c r="B14" s="24"/>
      <c r="C14" s="29">
        <v>6</v>
      </c>
      <c r="D14" s="36" t="s">
        <v>30</v>
      </c>
      <c r="E14" s="22" t="s">
        <v>30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/>
      <c r="M14" s="23"/>
      <c r="N14" s="23"/>
      <c r="O14" s="23"/>
      <c r="P14" s="23"/>
      <c r="Q14" s="23"/>
      <c r="R14" s="23">
        <f>SUM(F14:Q14)</f>
      </c>
    </row>
    <row r="15" ht="50.1" customHeight="1" spans="1:18" x14ac:dyDescent="0.25">
      <c r="A15" s="19"/>
      <c r="B15" s="24"/>
      <c r="C15" s="21">
        <v>7</v>
      </c>
      <c r="D15" s="22" t="s">
        <v>31</v>
      </c>
      <c r="E15" s="22" t="s">
        <v>31</v>
      </c>
      <c r="F15" s="23">
        <v>0</v>
      </c>
      <c r="G15" s="23">
        <v>0</v>
      </c>
      <c r="H15" s="23">
        <v>0</v>
      </c>
      <c r="I15" s="23">
        <v>0</v>
      </c>
      <c r="J15" s="23">
        <v>2</v>
      </c>
      <c r="K15" s="23">
        <v>0</v>
      </c>
      <c r="L15" s="23"/>
      <c r="M15" s="23"/>
      <c r="N15" s="23"/>
      <c r="O15" s="23"/>
      <c r="P15" s="23"/>
      <c r="Q15" s="23"/>
      <c r="R15" s="23">
        <f>SUM(F15:Q15)</f>
      </c>
    </row>
    <row r="16" ht="50.1" customHeight="1" spans="1:18" x14ac:dyDescent="0.25">
      <c r="A16" s="19"/>
      <c r="B16" s="24"/>
      <c r="C16" s="21">
        <v>8</v>
      </c>
      <c r="D16" s="22" t="s">
        <v>32</v>
      </c>
      <c r="E16" s="22" t="s">
        <v>32</v>
      </c>
      <c r="F16" s="23">
        <v>0</v>
      </c>
      <c r="G16" s="23">
        <v>0</v>
      </c>
      <c r="H16" s="23">
        <v>0</v>
      </c>
      <c r="I16" s="23">
        <v>0</v>
      </c>
      <c r="J16" s="23">
        <v>1</v>
      </c>
      <c r="K16" s="23">
        <v>3</v>
      </c>
      <c r="L16" s="23"/>
      <c r="M16" s="23"/>
      <c r="N16" s="23"/>
      <c r="O16" s="23"/>
      <c r="P16" s="23"/>
      <c r="Q16" s="23"/>
      <c r="R16" s="23">
        <f>SUM(F16:Q16)</f>
      </c>
    </row>
    <row r="17" ht="50.1" customHeight="1" spans="1:18" x14ac:dyDescent="0.25">
      <c r="A17" s="19"/>
      <c r="B17" s="24"/>
      <c r="C17" s="25">
        <v>9</v>
      </c>
      <c r="D17" s="26" t="s">
        <v>33</v>
      </c>
      <c r="E17" s="22" t="s">
        <v>34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/>
      <c r="M17" s="23"/>
      <c r="N17" s="23"/>
      <c r="O17" s="23"/>
      <c r="P17" s="23"/>
      <c r="Q17" s="23"/>
      <c r="R17" s="23">
        <f>SUM(F17:Q17)</f>
      </c>
    </row>
    <row r="18" ht="50.1" customHeight="1" spans="1:18" x14ac:dyDescent="0.25">
      <c r="A18" s="19"/>
      <c r="B18" s="24"/>
      <c r="C18" s="29"/>
      <c r="D18" s="30"/>
      <c r="E18" s="22" t="s">
        <v>35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/>
      <c r="M18" s="23"/>
      <c r="N18" s="23"/>
      <c r="O18" s="23"/>
      <c r="P18" s="23"/>
      <c r="Q18" s="23"/>
      <c r="R18" s="23">
        <f>SUM(F18:Q18)</f>
      </c>
    </row>
    <row r="19" ht="50.1" customHeight="1" spans="1:18" x14ac:dyDescent="0.25">
      <c r="A19" s="19"/>
      <c r="B19" s="24"/>
      <c r="C19" s="25">
        <v>10</v>
      </c>
      <c r="D19" s="26" t="s">
        <v>36</v>
      </c>
      <c r="E19" s="22" t="s">
        <v>37</v>
      </c>
      <c r="F19" s="23">
        <v>0</v>
      </c>
      <c r="G19" s="23">
        <v>0</v>
      </c>
      <c r="H19" s="23">
        <v>0</v>
      </c>
      <c r="I19" s="23">
        <v>2</v>
      </c>
      <c r="J19" s="23">
        <v>7</v>
      </c>
      <c r="K19" s="23">
        <v>4</v>
      </c>
      <c r="L19" s="23"/>
      <c r="M19" s="23"/>
      <c r="N19" s="23"/>
      <c r="O19" s="23"/>
      <c r="P19" s="23"/>
      <c r="Q19" s="23"/>
      <c r="R19" s="23">
        <f>SUM(F19:Q19)</f>
      </c>
    </row>
    <row r="20" ht="50.1" customHeight="1" spans="1:18" x14ac:dyDescent="0.25">
      <c r="A20" s="19"/>
      <c r="B20" s="24"/>
      <c r="C20" s="29"/>
      <c r="D20" s="30"/>
      <c r="E20" s="22" t="s">
        <v>36</v>
      </c>
      <c r="F20" s="23">
        <v>0</v>
      </c>
      <c r="G20" s="23">
        <v>1</v>
      </c>
      <c r="H20" s="23">
        <v>1</v>
      </c>
      <c r="I20" s="23">
        <v>4</v>
      </c>
      <c r="J20" s="23">
        <v>32</v>
      </c>
      <c r="K20" s="23">
        <v>66</v>
      </c>
      <c r="L20" s="23"/>
      <c r="M20" s="23"/>
      <c r="N20" s="23"/>
      <c r="O20" s="23"/>
      <c r="P20" s="23"/>
      <c r="Q20" s="23"/>
      <c r="R20" s="23">
        <f>SUM(F20:Q20)</f>
      </c>
    </row>
    <row r="21" ht="50.1" customHeight="1" spans="1:18" x14ac:dyDescent="0.25">
      <c r="A21" s="19"/>
      <c r="B21" s="24"/>
      <c r="C21" s="21">
        <v>11</v>
      </c>
      <c r="D21" s="22" t="s">
        <v>38</v>
      </c>
      <c r="E21" s="22" t="s">
        <v>38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/>
      <c r="M21" s="23"/>
      <c r="N21" s="23"/>
      <c r="O21" s="23"/>
      <c r="P21" s="23"/>
      <c r="Q21" s="23"/>
      <c r="R21" s="23">
        <f>SUM(F21:Q21)</f>
      </c>
    </row>
    <row r="22" ht="50.1" customHeight="1" spans="1:18" x14ac:dyDescent="0.25">
      <c r="A22" s="19"/>
      <c r="B22" s="37"/>
      <c r="C22" s="21">
        <v>12</v>
      </c>
      <c r="D22" s="22" t="s">
        <v>39</v>
      </c>
      <c r="E22" s="22" t="s">
        <v>39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/>
      <c r="M22" s="23"/>
      <c r="N22" s="23"/>
      <c r="O22" s="23"/>
      <c r="P22" s="23"/>
      <c r="Q22" s="23"/>
      <c r="R22" s="23">
        <f>SUM(F22:Q22)</f>
      </c>
    </row>
    <row r="23" ht="50.1" customHeight="1" spans="1:18" x14ac:dyDescent="0.25">
      <c r="A23" s="19"/>
      <c r="B23" s="38" t="s">
        <v>40</v>
      </c>
      <c r="C23" s="39">
        <v>13</v>
      </c>
      <c r="D23" s="40" t="s">
        <v>41</v>
      </c>
      <c r="E23" s="41" t="s">
        <v>42</v>
      </c>
      <c r="F23" s="42">
        <v>0</v>
      </c>
      <c r="G23" s="42">
        <v>0</v>
      </c>
      <c r="H23" s="42">
        <v>0</v>
      </c>
      <c r="I23" s="42">
        <v>0</v>
      </c>
      <c r="J23" s="42">
        <v>2</v>
      </c>
      <c r="K23" s="42">
        <v>20</v>
      </c>
      <c r="L23" s="42"/>
      <c r="M23" s="42"/>
      <c r="N23" s="42"/>
      <c r="O23" s="42"/>
      <c r="P23" s="42"/>
      <c r="Q23" s="42"/>
      <c r="R23" s="42">
        <f>SUM(F23:Q23)</f>
      </c>
    </row>
    <row r="24" ht="50.1" customHeight="1" spans="1:18" x14ac:dyDescent="0.25">
      <c r="A24" s="19"/>
      <c r="B24" s="43"/>
      <c r="C24" s="44"/>
      <c r="D24" s="45"/>
      <c r="E24" s="41" t="s">
        <v>43</v>
      </c>
      <c r="F24" s="42">
        <v>0</v>
      </c>
      <c r="G24" s="42">
        <v>0</v>
      </c>
      <c r="H24" s="42">
        <v>0</v>
      </c>
      <c r="I24" s="42">
        <v>3</v>
      </c>
      <c r="J24" s="42">
        <v>22</v>
      </c>
      <c r="K24" s="42">
        <v>175</v>
      </c>
      <c r="L24" s="42"/>
      <c r="M24" s="42"/>
      <c r="N24" s="42"/>
      <c r="O24" s="42"/>
      <c r="P24" s="42"/>
      <c r="Q24" s="42"/>
      <c r="R24" s="42">
        <f>SUM(F24:Q24)</f>
      </c>
    </row>
    <row r="25" ht="50.1" customHeight="1" spans="1:18" x14ac:dyDescent="0.25">
      <c r="A25" s="19"/>
      <c r="B25" s="43"/>
      <c r="C25" s="39">
        <v>14</v>
      </c>
      <c r="D25" s="40" t="s">
        <v>44</v>
      </c>
      <c r="E25" s="41" t="s">
        <v>45</v>
      </c>
      <c r="F25" s="42">
        <v>1</v>
      </c>
      <c r="G25" s="42">
        <v>1</v>
      </c>
      <c r="H25" s="42">
        <v>0</v>
      </c>
      <c r="I25" s="42">
        <v>2</v>
      </c>
      <c r="J25" s="42">
        <v>1</v>
      </c>
      <c r="K25" s="42">
        <v>2</v>
      </c>
      <c r="L25" s="42"/>
      <c r="M25" s="42"/>
      <c r="N25" s="42"/>
      <c r="O25" s="42"/>
      <c r="P25" s="42"/>
      <c r="Q25" s="42"/>
      <c r="R25" s="42">
        <f>SUM(F25:Q25)</f>
      </c>
    </row>
    <row r="26" ht="50.1" customHeight="1" spans="1:18" x14ac:dyDescent="0.25">
      <c r="A26" s="19"/>
      <c r="B26" s="43"/>
      <c r="C26" s="44"/>
      <c r="D26" s="45"/>
      <c r="E26" s="41" t="s">
        <v>46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/>
      <c r="M26" s="42"/>
      <c r="N26" s="42"/>
      <c r="O26" s="42"/>
      <c r="P26" s="42"/>
      <c r="Q26" s="42"/>
      <c r="R26" s="42">
        <f>SUM(F26:Q26)</f>
      </c>
    </row>
    <row r="27" ht="50.1" customHeight="1" spans="1:18" x14ac:dyDescent="0.25">
      <c r="A27" s="19"/>
      <c r="B27" s="46"/>
      <c r="C27" s="47">
        <v>15</v>
      </c>
      <c r="D27" s="41" t="s">
        <v>47</v>
      </c>
      <c r="E27" s="41" t="s">
        <v>48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/>
      <c r="M27" s="42"/>
      <c r="N27" s="42"/>
      <c r="O27" s="42"/>
      <c r="P27" s="42"/>
      <c r="Q27" s="42"/>
      <c r="R27" s="42">
        <f>SUM(F27:Q27)</f>
      </c>
    </row>
    <row r="28" ht="50.1" customHeight="1" spans="1:18" x14ac:dyDescent="0.25">
      <c r="A28" s="19"/>
      <c r="B28" s="48" t="s">
        <v>49</v>
      </c>
      <c r="C28" s="49">
        <v>16</v>
      </c>
      <c r="D28" s="50" t="s">
        <v>50</v>
      </c>
      <c r="E28" s="51" t="s">
        <v>50</v>
      </c>
      <c r="F28" s="52">
        <v>0</v>
      </c>
      <c r="G28" s="52">
        <v>0</v>
      </c>
      <c r="H28" s="52">
        <v>15</v>
      </c>
      <c r="I28" s="52">
        <v>19</v>
      </c>
      <c r="J28" s="52">
        <v>29</v>
      </c>
      <c r="K28" s="52">
        <v>34</v>
      </c>
      <c r="L28" s="52"/>
      <c r="M28" s="52"/>
      <c r="N28" s="52"/>
      <c r="O28" s="52"/>
      <c r="P28" s="52"/>
      <c r="Q28" s="52"/>
      <c r="R28" s="52">
        <f>SUM(F28:Q28)</f>
      </c>
    </row>
    <row r="29" ht="50.1" customHeight="1" spans="1:18" x14ac:dyDescent="0.25">
      <c r="A29" s="19"/>
      <c r="B29" s="53"/>
      <c r="C29" s="54"/>
      <c r="D29" s="55"/>
      <c r="E29" s="51" t="s">
        <v>51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/>
      <c r="M29" s="52"/>
      <c r="N29" s="52"/>
      <c r="O29" s="52"/>
      <c r="P29" s="52"/>
      <c r="Q29" s="52"/>
      <c r="R29" s="52">
        <f>SUM(F29:Q29)</f>
      </c>
    </row>
    <row r="30" ht="50.1" customHeight="1" spans="1:18" x14ac:dyDescent="0.25">
      <c r="A30" s="19"/>
      <c r="B30" s="53"/>
      <c r="C30" s="49">
        <v>17</v>
      </c>
      <c r="D30" s="50" t="s">
        <v>52</v>
      </c>
      <c r="E30" s="51" t="s">
        <v>52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/>
      <c r="M30" s="52"/>
      <c r="N30" s="52"/>
      <c r="O30" s="52"/>
      <c r="P30" s="52"/>
      <c r="Q30" s="52"/>
      <c r="R30" s="52">
        <f>SUM(F30:Q30)</f>
      </c>
    </row>
    <row r="31" ht="50.1" customHeight="1" spans="1:18" x14ac:dyDescent="0.25">
      <c r="A31" s="19"/>
      <c r="B31" s="53"/>
      <c r="C31" s="56"/>
      <c r="D31" s="57"/>
      <c r="E31" s="51" t="s">
        <v>53</v>
      </c>
      <c r="F31" s="52">
        <v>0</v>
      </c>
      <c r="G31" s="52">
        <v>0</v>
      </c>
      <c r="H31" s="52">
        <v>0</v>
      </c>
      <c r="I31" s="52">
        <v>2</v>
      </c>
      <c r="J31" s="52">
        <v>19</v>
      </c>
      <c r="K31" s="52">
        <v>24</v>
      </c>
      <c r="L31" s="52"/>
      <c r="M31" s="52"/>
      <c r="N31" s="52"/>
      <c r="O31" s="52"/>
      <c r="P31" s="52"/>
      <c r="Q31" s="52"/>
      <c r="R31" s="52">
        <f>SUM(F31:Q31)</f>
      </c>
    </row>
    <row r="32" ht="50.1" customHeight="1" spans="1:18" x14ac:dyDescent="0.25">
      <c r="A32" s="19"/>
      <c r="B32" s="53"/>
      <c r="C32" s="58"/>
      <c r="D32" s="57"/>
      <c r="E32" s="51" t="s">
        <v>54</v>
      </c>
      <c r="F32" s="52">
        <v>0</v>
      </c>
      <c r="G32" s="52">
        <v>0</v>
      </c>
      <c r="H32" s="52">
        <v>0</v>
      </c>
      <c r="I32" s="52">
        <v>101</v>
      </c>
      <c r="J32" s="52">
        <v>135</v>
      </c>
      <c r="K32" s="52">
        <v>91</v>
      </c>
      <c r="L32" s="52"/>
      <c r="M32" s="52"/>
      <c r="N32" s="52"/>
      <c r="O32" s="52"/>
      <c r="P32" s="52"/>
      <c r="Q32" s="52"/>
      <c r="R32" s="52">
        <f>SUM(F32:Q32)</f>
      </c>
    </row>
    <row r="33" ht="50.1" customHeight="1" spans="1:18" x14ac:dyDescent="0.25">
      <c r="A33" s="19"/>
      <c r="B33" s="53"/>
      <c r="C33" s="56"/>
      <c r="D33" s="57"/>
      <c r="E33" s="51" t="s">
        <v>55</v>
      </c>
      <c r="F33" s="52">
        <v>0</v>
      </c>
      <c r="G33" s="52">
        <v>0</v>
      </c>
      <c r="H33" s="52">
        <v>12</v>
      </c>
      <c r="I33" s="52">
        <v>52</v>
      </c>
      <c r="J33" s="52">
        <v>189</v>
      </c>
      <c r="K33" s="52">
        <v>175</v>
      </c>
      <c r="L33" s="52"/>
      <c r="M33" s="52"/>
      <c r="N33" s="52"/>
      <c r="O33" s="52"/>
      <c r="P33" s="52"/>
      <c r="Q33" s="52"/>
      <c r="R33" s="52">
        <f>SUM(F33:Q33)</f>
      </c>
    </row>
    <row r="34" ht="50.1" customHeight="1" spans="1:18" x14ac:dyDescent="0.25">
      <c r="A34" s="19"/>
      <c r="B34" s="53"/>
      <c r="C34" s="54"/>
      <c r="D34" s="55"/>
      <c r="E34" s="51" t="s">
        <v>56</v>
      </c>
      <c r="F34" s="52">
        <v>0</v>
      </c>
      <c r="G34" s="52">
        <v>0</v>
      </c>
      <c r="H34" s="52">
        <v>0</v>
      </c>
      <c r="I34" s="52">
        <v>89</v>
      </c>
      <c r="J34" s="52">
        <v>103</v>
      </c>
      <c r="K34" s="52">
        <v>84</v>
      </c>
      <c r="L34" s="52"/>
      <c r="M34" s="52"/>
      <c r="N34" s="52"/>
      <c r="O34" s="52"/>
      <c r="P34" s="52"/>
      <c r="Q34" s="52"/>
      <c r="R34" s="52">
        <f>SUM(F34:Q34)</f>
      </c>
    </row>
    <row r="35" ht="50.1" customHeight="1" spans="1:18" x14ac:dyDescent="0.25">
      <c r="A35" s="19"/>
      <c r="B35" s="53"/>
      <c r="C35" s="59">
        <v>18</v>
      </c>
      <c r="D35" s="60" t="s">
        <v>57</v>
      </c>
      <c r="E35" s="51" t="s">
        <v>57</v>
      </c>
      <c r="F35" s="52">
        <v>0</v>
      </c>
      <c r="G35" s="52">
        <v>0</v>
      </c>
      <c r="H35" s="52">
        <v>0</v>
      </c>
      <c r="I35" s="52">
        <v>0</v>
      </c>
      <c r="J35" s="52">
        <v>11</v>
      </c>
      <c r="K35" s="52">
        <v>71</v>
      </c>
      <c r="L35" s="52"/>
      <c r="M35" s="52"/>
      <c r="N35" s="52"/>
      <c r="O35" s="52"/>
      <c r="P35" s="52"/>
      <c r="Q35" s="52"/>
      <c r="R35" s="52">
        <f>SUM(F35:Q35)</f>
      </c>
    </row>
    <row r="36" ht="50.1" customHeight="1" spans="1:18" x14ac:dyDescent="0.25">
      <c r="A36" s="19"/>
      <c r="B36" s="61"/>
      <c r="C36" s="59">
        <v>19</v>
      </c>
      <c r="D36" s="60" t="s">
        <v>58</v>
      </c>
      <c r="E36" s="51" t="s">
        <v>58</v>
      </c>
      <c r="F36" s="52">
        <v>0</v>
      </c>
      <c r="G36" s="52">
        <v>0</v>
      </c>
      <c r="H36" s="52">
        <v>1</v>
      </c>
      <c r="I36" s="52">
        <v>6</v>
      </c>
      <c r="J36" s="52">
        <v>28</v>
      </c>
      <c r="K36" s="52">
        <v>72</v>
      </c>
      <c r="L36" s="52"/>
      <c r="M36" s="52"/>
      <c r="N36" s="52"/>
      <c r="O36" s="52"/>
      <c r="P36" s="52"/>
      <c r="Q36" s="52"/>
      <c r="R36" s="52">
        <f>SUM(F36:Q36)</f>
      </c>
    </row>
    <row r="37" ht="50.1" customHeight="1" spans="1:18" x14ac:dyDescent="0.25">
      <c r="A37" s="19"/>
      <c r="B37" s="62" t="s">
        <v>59</v>
      </c>
      <c r="C37" s="63">
        <v>20</v>
      </c>
      <c r="D37" s="64" t="s">
        <v>60</v>
      </c>
      <c r="E37" s="65" t="s">
        <v>61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76</v>
      </c>
      <c r="L37" s="66"/>
      <c r="M37" s="66"/>
      <c r="N37" s="66"/>
      <c r="O37" s="66"/>
      <c r="P37" s="66"/>
      <c r="Q37" s="66"/>
      <c r="R37" s="66">
        <f>SUM(F37:Q37)</f>
      </c>
    </row>
    <row r="38" ht="50.1" customHeight="1" spans="1:18" x14ac:dyDescent="0.25">
      <c r="A38" s="19"/>
      <c r="B38" s="67"/>
      <c r="C38" s="68"/>
      <c r="D38" s="69"/>
      <c r="E38" s="65" t="s">
        <v>62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/>
      <c r="M38" s="66"/>
      <c r="N38" s="66"/>
      <c r="O38" s="66"/>
      <c r="P38" s="66"/>
      <c r="Q38" s="66"/>
      <c r="R38" s="66">
        <f>SUM(F38:Q38)</f>
      </c>
    </row>
    <row r="39" ht="50.1" customHeight="1" spans="1:18" x14ac:dyDescent="0.25">
      <c r="A39" s="19"/>
      <c r="B39" s="67"/>
      <c r="C39" s="70"/>
      <c r="D39" s="71"/>
      <c r="E39" s="65" t="s">
        <v>63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64</v>
      </c>
      <c r="L39" s="66"/>
      <c r="M39" s="66"/>
      <c r="N39" s="66"/>
      <c r="O39" s="66"/>
      <c r="P39" s="66"/>
      <c r="Q39" s="66"/>
      <c r="R39" s="66">
        <f>SUM(F39:Q39)</f>
      </c>
    </row>
    <row r="40" ht="50.1" customHeight="1" spans="1:18" x14ac:dyDescent="0.25">
      <c r="A40" s="19"/>
      <c r="B40" s="67"/>
      <c r="C40" s="72">
        <v>21</v>
      </c>
      <c r="D40" s="65" t="s">
        <v>64</v>
      </c>
      <c r="E40" s="65" t="s">
        <v>65</v>
      </c>
      <c r="F40" s="66">
        <v>0</v>
      </c>
      <c r="G40" s="66">
        <v>1</v>
      </c>
      <c r="H40" s="66">
        <v>672</v>
      </c>
      <c r="I40" s="66">
        <v>267</v>
      </c>
      <c r="J40" s="66">
        <v>12</v>
      </c>
      <c r="K40" s="66">
        <v>0</v>
      </c>
      <c r="L40" s="66"/>
      <c r="M40" s="66"/>
      <c r="N40" s="66"/>
      <c r="O40" s="66"/>
      <c r="P40" s="66"/>
      <c r="Q40" s="66"/>
      <c r="R40" s="66">
        <f>SUM(F40:Q40)</f>
      </c>
    </row>
    <row r="41" ht="50.1" customHeight="1" spans="1:18" x14ac:dyDescent="0.25">
      <c r="A41" s="19"/>
      <c r="B41" s="67"/>
      <c r="C41" s="72">
        <v>22</v>
      </c>
      <c r="D41" s="65" t="s">
        <v>66</v>
      </c>
      <c r="E41" s="65" t="s">
        <v>66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/>
      <c r="M41" s="66"/>
      <c r="N41" s="66"/>
      <c r="O41" s="66"/>
      <c r="P41" s="66"/>
      <c r="Q41" s="66"/>
      <c r="R41" s="66">
        <f>SUM(F41:Q41)</f>
      </c>
    </row>
    <row r="42" ht="50.1" customHeight="1" spans="1:18" x14ac:dyDescent="0.25">
      <c r="A42" s="19"/>
      <c r="B42" s="67"/>
      <c r="C42" s="72">
        <v>23</v>
      </c>
      <c r="D42" s="65" t="s">
        <v>67</v>
      </c>
      <c r="E42" s="65" t="s">
        <v>68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1</v>
      </c>
      <c r="L42" s="66"/>
      <c r="M42" s="66"/>
      <c r="N42" s="66"/>
      <c r="O42" s="66"/>
      <c r="P42" s="66"/>
      <c r="Q42" s="66"/>
      <c r="R42" s="66">
        <f>SUM(F42:Q42)</f>
      </c>
    </row>
    <row r="43" ht="50.1" customHeight="1" spans="1:18" x14ac:dyDescent="0.25">
      <c r="A43" s="19"/>
      <c r="B43" s="67"/>
      <c r="C43" s="72">
        <v>24</v>
      </c>
      <c r="D43" s="65" t="s">
        <v>69</v>
      </c>
      <c r="E43" s="65" t="s">
        <v>70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/>
      <c r="M43" s="66"/>
      <c r="N43" s="66"/>
      <c r="O43" s="66"/>
      <c r="P43" s="66"/>
      <c r="Q43" s="66"/>
      <c r="R43" s="66">
        <f>SUM(F43:Q43)</f>
      </c>
    </row>
    <row r="44" ht="50.1" customHeight="1" spans="1:18" x14ac:dyDescent="0.25">
      <c r="A44" s="19"/>
      <c r="B44" s="67"/>
      <c r="C44" s="63">
        <v>25</v>
      </c>
      <c r="D44" s="64" t="s">
        <v>71</v>
      </c>
      <c r="E44" s="65" t="s">
        <v>72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/>
      <c r="M44" s="66"/>
      <c r="N44" s="66"/>
      <c r="O44" s="66"/>
      <c r="P44" s="66"/>
      <c r="Q44" s="66"/>
      <c r="R44" s="66">
        <f>SUM(F44:Q44)</f>
      </c>
    </row>
    <row r="45" ht="50.1" customHeight="1" spans="1:18" x14ac:dyDescent="0.25">
      <c r="A45" s="19"/>
      <c r="B45" s="67"/>
      <c r="C45" s="70"/>
      <c r="D45" s="71"/>
      <c r="E45" s="65" t="s">
        <v>73</v>
      </c>
      <c r="F45" s="66">
        <v>0</v>
      </c>
      <c r="G45" s="66">
        <v>2</v>
      </c>
      <c r="H45" s="66">
        <v>1</v>
      </c>
      <c r="I45" s="66">
        <v>2</v>
      </c>
      <c r="J45" s="66">
        <v>1</v>
      </c>
      <c r="K45" s="66">
        <v>21</v>
      </c>
      <c r="L45" s="66"/>
      <c r="M45" s="66"/>
      <c r="N45" s="66"/>
      <c r="O45" s="66"/>
      <c r="P45" s="66"/>
      <c r="Q45" s="66"/>
      <c r="R45" s="66">
        <f>SUM(F45:Q45)</f>
      </c>
    </row>
    <row r="46" ht="50.1" customHeight="1" spans="1:18" x14ac:dyDescent="0.25">
      <c r="A46" s="19"/>
      <c r="B46" s="67"/>
      <c r="C46" s="63">
        <v>26</v>
      </c>
      <c r="D46" s="73" t="s">
        <v>74</v>
      </c>
      <c r="E46" s="65" t="s">
        <v>74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/>
      <c r="M46" s="66"/>
      <c r="N46" s="66"/>
      <c r="O46" s="66"/>
      <c r="P46" s="66"/>
      <c r="Q46" s="66"/>
      <c r="R46" s="66">
        <f>SUM(F46:Q46)</f>
      </c>
    </row>
    <row r="47" ht="65.25" customHeight="1" spans="1:18" x14ac:dyDescent="0.25">
      <c r="A47" s="19"/>
      <c r="B47" s="74"/>
      <c r="C47" s="63">
        <v>27</v>
      </c>
      <c r="D47" s="75" t="s">
        <v>75</v>
      </c>
      <c r="E47" s="76" t="s">
        <v>76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1</v>
      </c>
      <c r="L47" s="66"/>
      <c r="M47" s="66"/>
      <c r="N47" s="66"/>
      <c r="O47" s="66"/>
      <c r="P47" s="66"/>
      <c r="Q47" s="66"/>
      <c r="R47" s="66">
        <f>SUM(F47:Q47)</f>
      </c>
    </row>
    <row r="48" ht="50.1" customHeight="1" spans="1:18" x14ac:dyDescent="0.25">
      <c r="A48" s="19"/>
      <c r="B48" s="74"/>
      <c r="C48" s="68"/>
      <c r="D48" s="77"/>
      <c r="E48" s="76" t="s">
        <v>77</v>
      </c>
      <c r="F48" s="66">
        <v>0</v>
      </c>
      <c r="G48" s="66">
        <v>0</v>
      </c>
      <c r="H48" s="66">
        <v>5</v>
      </c>
      <c r="I48" s="66">
        <v>2281</v>
      </c>
      <c r="J48" s="66">
        <v>1737</v>
      </c>
      <c r="K48" s="66">
        <v>447</v>
      </c>
      <c r="L48" s="66"/>
      <c r="M48" s="66"/>
      <c r="N48" s="66"/>
      <c r="O48" s="66"/>
      <c r="P48" s="66"/>
      <c r="Q48" s="66"/>
      <c r="R48" s="66">
        <f>SUM(F48:Q48)</f>
      </c>
    </row>
    <row r="49" ht="50.1" customHeight="1" spans="1:18" x14ac:dyDescent="0.25">
      <c r="A49" s="19"/>
      <c r="B49" s="74"/>
      <c r="C49" s="70"/>
      <c r="D49" s="78"/>
      <c r="E49" s="76" t="s">
        <v>78</v>
      </c>
      <c r="F49" s="66">
        <v>0</v>
      </c>
      <c r="G49" s="66">
        <v>0</v>
      </c>
      <c r="H49" s="66">
        <v>1</v>
      </c>
      <c r="I49" s="66">
        <v>0</v>
      </c>
      <c r="J49" s="66">
        <v>0</v>
      </c>
      <c r="K49" s="66">
        <v>0</v>
      </c>
      <c r="L49" s="66"/>
      <c r="M49" s="66"/>
      <c r="N49" s="66"/>
      <c r="O49" s="66"/>
      <c r="P49" s="66"/>
      <c r="Q49" s="66"/>
      <c r="R49" s="66">
        <f>SUM(F49:Q49)</f>
      </c>
    </row>
    <row r="50" ht="50.1" customHeight="1" spans="1:18" x14ac:dyDescent="0.25">
      <c r="A50" s="19"/>
      <c r="B50" s="67"/>
      <c r="C50" s="70">
        <v>28</v>
      </c>
      <c r="D50" s="79" t="s">
        <v>79</v>
      </c>
      <c r="E50" s="65" t="s">
        <v>80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1</v>
      </c>
      <c r="L50" s="66"/>
      <c r="M50" s="66"/>
      <c r="N50" s="66"/>
      <c r="O50" s="66"/>
      <c r="P50" s="66"/>
      <c r="Q50" s="66"/>
      <c r="R50" s="66">
        <f>SUM(F50:Q50)</f>
      </c>
    </row>
    <row r="51" ht="50.1" customHeight="1" spans="1:18" x14ac:dyDescent="0.25">
      <c r="A51" s="19"/>
      <c r="B51" s="67"/>
      <c r="C51" s="72">
        <v>29</v>
      </c>
      <c r="D51" s="65" t="s">
        <v>81</v>
      </c>
      <c r="E51" s="65" t="s">
        <v>81</v>
      </c>
      <c r="F51" s="66">
        <v>4</v>
      </c>
      <c r="G51" s="66">
        <v>32</v>
      </c>
      <c r="H51" s="66">
        <v>0</v>
      </c>
      <c r="I51" s="66">
        <v>2</v>
      </c>
      <c r="J51" s="66">
        <v>3</v>
      </c>
      <c r="K51" s="66">
        <v>10</v>
      </c>
      <c r="L51" s="66"/>
      <c r="M51" s="66"/>
      <c r="N51" s="66"/>
      <c r="O51" s="66"/>
      <c r="P51" s="66"/>
      <c r="Q51" s="66"/>
      <c r="R51" s="66">
        <f>SUM(F51:Q51)</f>
      </c>
    </row>
    <row r="52" ht="50.1" customHeight="1" spans="1:18" x14ac:dyDescent="0.25">
      <c r="A52" s="19"/>
      <c r="B52" s="67"/>
      <c r="C52" s="72">
        <v>30</v>
      </c>
      <c r="D52" s="65" t="s">
        <v>82</v>
      </c>
      <c r="E52" s="65" t="s">
        <v>82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/>
      <c r="M52" s="66"/>
      <c r="N52" s="66"/>
      <c r="O52" s="66"/>
      <c r="P52" s="66"/>
      <c r="Q52" s="66"/>
      <c r="R52" s="66">
        <f>SUM(F52:Q52)</f>
      </c>
    </row>
    <row r="53" ht="50.1" customHeight="1" spans="1:18" x14ac:dyDescent="0.25">
      <c r="A53" s="19"/>
      <c r="B53" s="67"/>
      <c r="C53" s="72">
        <v>31</v>
      </c>
      <c r="D53" s="65" t="s">
        <v>83</v>
      </c>
      <c r="E53" s="65" t="s">
        <v>83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/>
      <c r="M53" s="66"/>
      <c r="N53" s="66"/>
      <c r="O53" s="66"/>
      <c r="P53" s="66"/>
      <c r="Q53" s="66"/>
      <c r="R53" s="66">
        <f>SUM(F53:Q53)</f>
      </c>
    </row>
    <row r="54" ht="50.1" customHeight="1" spans="1:18" x14ac:dyDescent="0.25">
      <c r="A54" s="19"/>
      <c r="B54" s="80"/>
      <c r="C54" s="72">
        <v>32</v>
      </c>
      <c r="D54" s="65" t="s">
        <v>84</v>
      </c>
      <c r="E54" s="65" t="s">
        <v>85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10</v>
      </c>
      <c r="L54" s="66"/>
      <c r="M54" s="66"/>
      <c r="N54" s="66"/>
      <c r="O54" s="66"/>
      <c r="P54" s="66"/>
      <c r="Q54" s="66"/>
      <c r="R54" s="66">
        <f>SUM(F54:Q54)</f>
      </c>
    </row>
    <row r="55" ht="50.1" customHeight="1" spans="1:18" x14ac:dyDescent="0.25">
      <c r="A55" s="19"/>
      <c r="B55" s="81" t="s">
        <v>86</v>
      </c>
      <c r="C55" s="82">
        <v>33</v>
      </c>
      <c r="D55" s="83" t="s">
        <v>87</v>
      </c>
      <c r="E55" s="84" t="s">
        <v>88</v>
      </c>
      <c r="F55" s="85">
        <v>0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5"/>
      <c r="M55" s="85"/>
      <c r="N55" s="85"/>
      <c r="O55" s="85"/>
      <c r="P55" s="85"/>
      <c r="Q55" s="85"/>
      <c r="R55" s="85">
        <f>SUM(F55:Q55)</f>
      </c>
    </row>
    <row r="56" ht="50.1" customHeight="1" spans="1:18" x14ac:dyDescent="0.25">
      <c r="A56" s="19"/>
      <c r="B56" s="86"/>
      <c r="C56" s="87"/>
      <c r="D56" s="88"/>
      <c r="E56" s="84" t="s">
        <v>89</v>
      </c>
      <c r="F56" s="85">
        <v>0</v>
      </c>
      <c r="G56" s="85">
        <v>0</v>
      </c>
      <c r="H56" s="85">
        <v>0</v>
      </c>
      <c r="I56" s="85">
        <v>0</v>
      </c>
      <c r="J56" s="85">
        <v>0</v>
      </c>
      <c r="K56" s="85">
        <v>2</v>
      </c>
      <c r="L56" s="85"/>
      <c r="M56" s="85"/>
      <c r="N56" s="85"/>
      <c r="O56" s="85"/>
      <c r="P56" s="85"/>
      <c r="Q56" s="85"/>
      <c r="R56" s="85">
        <f>SUM(F56:Q56)</f>
      </c>
    </row>
    <row r="57" ht="50.1" customHeight="1" spans="1:18" x14ac:dyDescent="0.25">
      <c r="A57" s="19"/>
      <c r="B57" s="86"/>
      <c r="C57" s="82">
        <v>34</v>
      </c>
      <c r="D57" s="83" t="s">
        <v>90</v>
      </c>
      <c r="E57" s="84" t="s">
        <v>91</v>
      </c>
      <c r="F57" s="85">
        <v>0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/>
      <c r="M57" s="85"/>
      <c r="N57" s="85"/>
      <c r="O57" s="85"/>
      <c r="P57" s="85"/>
      <c r="Q57" s="85"/>
      <c r="R57" s="85">
        <f>SUM(F57:Q57)</f>
      </c>
    </row>
    <row r="58" ht="50.1" customHeight="1" spans="1:18" x14ac:dyDescent="0.25">
      <c r="A58" s="19"/>
      <c r="B58" s="86"/>
      <c r="C58" s="89"/>
      <c r="D58" s="90"/>
      <c r="E58" s="84" t="s">
        <v>92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/>
      <c r="M58" s="85"/>
      <c r="N58" s="85"/>
      <c r="O58" s="85"/>
      <c r="P58" s="85"/>
      <c r="Q58" s="85"/>
      <c r="R58" s="85">
        <f>SUM(F58:Q58)</f>
      </c>
    </row>
    <row r="59" ht="50.1" customHeight="1" spans="1:18" x14ac:dyDescent="0.25">
      <c r="A59" s="19"/>
      <c r="B59" s="86"/>
      <c r="C59" s="89"/>
      <c r="D59" s="90"/>
      <c r="E59" s="84" t="s">
        <v>93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1</v>
      </c>
      <c r="L59" s="85"/>
      <c r="M59" s="85"/>
      <c r="N59" s="85"/>
      <c r="O59" s="85"/>
      <c r="P59" s="85"/>
      <c r="Q59" s="85"/>
      <c r="R59" s="85">
        <f>SUM(F59:Q59)</f>
      </c>
    </row>
    <row r="60" ht="50.1" customHeight="1" spans="1:18" x14ac:dyDescent="0.25">
      <c r="A60" s="19"/>
      <c r="B60" s="86"/>
      <c r="C60" s="89"/>
      <c r="D60" s="90"/>
      <c r="E60" s="84" t="s">
        <v>94</v>
      </c>
      <c r="F60" s="85">
        <v>0</v>
      </c>
      <c r="G60" s="85">
        <v>1</v>
      </c>
      <c r="H60" s="85">
        <v>1</v>
      </c>
      <c r="I60" s="85">
        <v>0</v>
      </c>
      <c r="J60" s="85">
        <v>0</v>
      </c>
      <c r="K60" s="85">
        <v>0</v>
      </c>
      <c r="L60" s="85"/>
      <c r="M60" s="85"/>
      <c r="N60" s="85"/>
      <c r="O60" s="85"/>
      <c r="P60" s="85"/>
      <c r="Q60" s="85"/>
      <c r="R60" s="85">
        <f>SUM(F60:Q60)</f>
      </c>
    </row>
    <row r="61" ht="50.1" customHeight="1" spans="1:18" x14ac:dyDescent="0.25">
      <c r="A61" s="19"/>
      <c r="B61" s="86"/>
      <c r="C61" s="89"/>
      <c r="D61" s="90"/>
      <c r="E61" s="84" t="s">
        <v>95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/>
      <c r="M61" s="85"/>
      <c r="N61" s="85"/>
      <c r="O61" s="85"/>
      <c r="P61" s="85"/>
      <c r="Q61" s="85"/>
      <c r="R61" s="85">
        <f>SUM(F61:Q61)</f>
      </c>
    </row>
    <row r="62" ht="50.1" customHeight="1" spans="1:18" x14ac:dyDescent="0.25">
      <c r="A62" s="19"/>
      <c r="B62" s="86"/>
      <c r="C62" s="89"/>
      <c r="D62" s="90"/>
      <c r="E62" s="84" t="s">
        <v>96</v>
      </c>
      <c r="F62" s="85">
        <v>0</v>
      </c>
      <c r="G62" s="85">
        <v>2</v>
      </c>
      <c r="H62" s="85">
        <v>0</v>
      </c>
      <c r="I62" s="85">
        <v>2</v>
      </c>
      <c r="J62" s="85">
        <v>0</v>
      </c>
      <c r="K62" s="85">
        <v>3</v>
      </c>
      <c r="L62" s="85"/>
      <c r="M62" s="85"/>
      <c r="N62" s="85"/>
      <c r="O62" s="85"/>
      <c r="P62" s="85"/>
      <c r="Q62" s="85"/>
      <c r="R62" s="85">
        <f>SUM(F62:Q62)</f>
      </c>
    </row>
    <row r="63" ht="50.1" customHeight="1" spans="1:18" x14ac:dyDescent="0.25">
      <c r="A63" s="19"/>
      <c r="B63" s="86"/>
      <c r="C63" s="89"/>
      <c r="D63" s="90"/>
      <c r="E63" s="84" t="s">
        <v>97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/>
      <c r="M63" s="85"/>
      <c r="N63" s="85"/>
      <c r="O63" s="85"/>
      <c r="P63" s="85"/>
      <c r="Q63" s="85"/>
      <c r="R63" s="85">
        <f>SUM(F63:Q63)</f>
      </c>
    </row>
    <row r="64" ht="50.1" customHeight="1" spans="1:18" x14ac:dyDescent="0.25">
      <c r="A64" s="19"/>
      <c r="B64" s="86"/>
      <c r="C64" s="89"/>
      <c r="D64" s="90"/>
      <c r="E64" s="84" t="s">
        <v>98</v>
      </c>
      <c r="F64" s="85">
        <v>1</v>
      </c>
      <c r="G64" s="85">
        <v>0</v>
      </c>
      <c r="H64" s="85">
        <v>2</v>
      </c>
      <c r="I64" s="85">
        <v>2</v>
      </c>
      <c r="J64" s="85">
        <v>0</v>
      </c>
      <c r="K64" s="85">
        <v>12</v>
      </c>
      <c r="L64" s="85"/>
      <c r="M64" s="85"/>
      <c r="N64" s="85"/>
      <c r="O64" s="85"/>
      <c r="P64" s="85"/>
      <c r="Q64" s="85"/>
      <c r="R64" s="85">
        <f>SUM(F64:Q64)</f>
      </c>
    </row>
    <row r="65" ht="50.1" customHeight="1" spans="1:18" x14ac:dyDescent="0.25">
      <c r="A65" s="19"/>
      <c r="B65" s="86"/>
      <c r="C65" s="89"/>
      <c r="D65" s="90"/>
      <c r="E65" s="84" t="s">
        <v>99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/>
      <c r="M65" s="85"/>
      <c r="N65" s="85"/>
      <c r="O65" s="85"/>
      <c r="P65" s="85"/>
      <c r="Q65" s="85"/>
      <c r="R65" s="85">
        <f>SUM(F65:Q65)</f>
      </c>
    </row>
    <row r="66" ht="50.1" customHeight="1" spans="1:18" x14ac:dyDescent="0.25">
      <c r="A66" s="19"/>
      <c r="B66" s="86"/>
      <c r="C66" s="89"/>
      <c r="D66" s="90"/>
      <c r="E66" s="84" t="s">
        <v>100</v>
      </c>
      <c r="F66" s="85">
        <v>0</v>
      </c>
      <c r="G66" s="85">
        <v>1</v>
      </c>
      <c r="H66" s="85">
        <v>1</v>
      </c>
      <c r="I66" s="85">
        <v>1</v>
      </c>
      <c r="J66" s="85">
        <v>0</v>
      </c>
      <c r="K66" s="85">
        <v>3</v>
      </c>
      <c r="L66" s="85"/>
      <c r="M66" s="85"/>
      <c r="N66" s="85"/>
      <c r="O66" s="85"/>
      <c r="P66" s="85"/>
      <c r="Q66" s="85"/>
      <c r="R66" s="85">
        <f>SUM(F66:Q66)</f>
      </c>
    </row>
    <row r="67" ht="50.1" customHeight="1" spans="1:18" x14ac:dyDescent="0.25">
      <c r="A67" s="19"/>
      <c r="B67" s="86"/>
      <c r="C67" s="89"/>
      <c r="D67" s="90"/>
      <c r="E67" s="84" t="s">
        <v>101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/>
      <c r="M67" s="85"/>
      <c r="N67" s="85"/>
      <c r="O67" s="85"/>
      <c r="P67" s="85"/>
      <c r="Q67" s="85"/>
      <c r="R67" s="85">
        <f>SUM(F67:Q67)</f>
      </c>
    </row>
    <row r="68" ht="50.1" customHeight="1" spans="1:18" x14ac:dyDescent="0.25">
      <c r="A68" s="19"/>
      <c r="B68" s="86"/>
      <c r="C68" s="89"/>
      <c r="D68" s="90"/>
      <c r="E68" s="84" t="s">
        <v>102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1</v>
      </c>
      <c r="L68" s="85"/>
      <c r="M68" s="85"/>
      <c r="N68" s="85"/>
      <c r="O68" s="85"/>
      <c r="P68" s="85"/>
      <c r="Q68" s="85"/>
      <c r="R68" s="85">
        <f>SUM(F68:Q68)</f>
      </c>
    </row>
    <row r="69" ht="50.1" customHeight="1" spans="1:18" x14ac:dyDescent="0.25">
      <c r="A69" s="19"/>
      <c r="B69" s="86"/>
      <c r="C69" s="89"/>
      <c r="D69" s="90"/>
      <c r="E69" s="84" t="s">
        <v>103</v>
      </c>
      <c r="F69" s="85">
        <v>0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5"/>
      <c r="M69" s="85"/>
      <c r="N69" s="85"/>
      <c r="O69" s="85"/>
      <c r="P69" s="85"/>
      <c r="Q69" s="85"/>
      <c r="R69" s="85">
        <f>SUM(F69:Q69)</f>
      </c>
    </row>
    <row r="70" ht="50.1" customHeight="1" spans="1:18" x14ac:dyDescent="0.25">
      <c r="A70" s="19"/>
      <c r="B70" s="86"/>
      <c r="C70" s="89"/>
      <c r="D70" s="90"/>
      <c r="E70" s="84" t="s">
        <v>104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/>
      <c r="M70" s="85"/>
      <c r="N70" s="85"/>
      <c r="O70" s="85"/>
      <c r="P70" s="85"/>
      <c r="Q70" s="85"/>
      <c r="R70" s="85">
        <f>SUM(F70:Q70)</f>
      </c>
    </row>
    <row r="71" ht="50.1" customHeight="1" spans="1:18" x14ac:dyDescent="0.25">
      <c r="A71" s="19"/>
      <c r="B71" s="86"/>
      <c r="C71" s="89"/>
      <c r="D71" s="90"/>
      <c r="E71" s="84" t="s">
        <v>105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1</v>
      </c>
      <c r="L71" s="85"/>
      <c r="M71" s="85"/>
      <c r="N71" s="85"/>
      <c r="O71" s="85"/>
      <c r="P71" s="85"/>
      <c r="Q71" s="85"/>
      <c r="R71" s="85">
        <f>SUM(F71:Q71)</f>
      </c>
    </row>
    <row r="72" ht="50.1" customHeight="1" spans="1:18" x14ac:dyDescent="0.25">
      <c r="A72" s="19"/>
      <c r="B72" s="86"/>
      <c r="C72" s="89"/>
      <c r="D72" s="90"/>
      <c r="E72" s="84" t="s">
        <v>106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/>
      <c r="M72" s="85"/>
      <c r="N72" s="85"/>
      <c r="O72" s="85"/>
      <c r="P72" s="85"/>
      <c r="Q72" s="85"/>
      <c r="R72" s="85">
        <f>SUM(F72:Q72)</f>
      </c>
    </row>
    <row r="73" ht="50.1" customHeight="1" spans="1:18" x14ac:dyDescent="0.25">
      <c r="A73" s="19"/>
      <c r="B73" s="86"/>
      <c r="C73" s="89"/>
      <c r="D73" s="90"/>
      <c r="E73" s="84" t="s">
        <v>107</v>
      </c>
      <c r="F73" s="85">
        <v>3</v>
      </c>
      <c r="G73" s="85">
        <v>4</v>
      </c>
      <c r="H73" s="85">
        <v>9</v>
      </c>
      <c r="I73" s="85">
        <v>1</v>
      </c>
      <c r="J73" s="85">
        <v>0</v>
      </c>
      <c r="K73" s="85">
        <v>0</v>
      </c>
      <c r="L73" s="85"/>
      <c r="M73" s="85"/>
      <c r="N73" s="85"/>
      <c r="O73" s="85"/>
      <c r="P73" s="85"/>
      <c r="Q73" s="85"/>
      <c r="R73" s="85">
        <f>SUM(F73:Q73)</f>
      </c>
    </row>
    <row r="74" ht="50.1" customHeight="1" spans="1:18" x14ac:dyDescent="0.25">
      <c r="A74" s="19"/>
      <c r="B74" s="86"/>
      <c r="C74" s="87"/>
      <c r="D74" s="88"/>
      <c r="E74" s="84" t="s">
        <v>108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1</v>
      </c>
      <c r="L74" s="85"/>
      <c r="M74" s="85"/>
      <c r="N74" s="85"/>
      <c r="O74" s="85"/>
      <c r="P74" s="85"/>
      <c r="Q74" s="85"/>
      <c r="R74" s="85">
        <f>SUM(F74:Q74)</f>
      </c>
    </row>
    <row r="75" ht="50.1" customHeight="1" spans="1:18" x14ac:dyDescent="0.25">
      <c r="A75" s="19"/>
      <c r="B75" s="91" t="s">
        <v>109</v>
      </c>
      <c r="C75" s="92">
        <v>35</v>
      </c>
      <c r="D75" s="93" t="s">
        <v>110</v>
      </c>
      <c r="E75" s="94" t="s">
        <v>111</v>
      </c>
      <c r="F75" s="95">
        <v>0</v>
      </c>
      <c r="G75" s="95">
        <v>0</v>
      </c>
      <c r="H75" s="95">
        <v>0</v>
      </c>
      <c r="I75" s="95">
        <v>0</v>
      </c>
      <c r="J75" s="95">
        <v>0</v>
      </c>
      <c r="K75" s="95">
        <v>11</v>
      </c>
      <c r="L75" s="95"/>
      <c r="M75" s="95"/>
      <c r="N75" s="95"/>
      <c r="O75" s="95"/>
      <c r="P75" s="95"/>
      <c r="Q75" s="95"/>
      <c r="R75" s="95">
        <f>SUM(F75:Q75)</f>
      </c>
    </row>
    <row r="76" ht="50.1" customHeight="1" spans="1:18" x14ac:dyDescent="0.25">
      <c r="A76" s="19"/>
      <c r="B76" s="96"/>
      <c r="C76" s="97"/>
      <c r="D76" s="98"/>
      <c r="E76" s="94" t="s">
        <v>112</v>
      </c>
      <c r="F76" s="95">
        <v>0</v>
      </c>
      <c r="G76" s="95">
        <v>0</v>
      </c>
      <c r="H76" s="95">
        <v>0</v>
      </c>
      <c r="I76" s="95">
        <v>0</v>
      </c>
      <c r="J76" s="95">
        <v>0</v>
      </c>
      <c r="K76" s="95">
        <v>0</v>
      </c>
      <c r="L76" s="95"/>
      <c r="M76" s="95"/>
      <c r="N76" s="95"/>
      <c r="O76" s="95"/>
      <c r="P76" s="95"/>
      <c r="Q76" s="95"/>
      <c r="R76" s="95">
        <f>SUM(F76:Q76)</f>
      </c>
    </row>
    <row r="77" ht="50.1" customHeight="1" spans="1:18" x14ac:dyDescent="0.25">
      <c r="A77" s="19"/>
      <c r="B77" s="99"/>
      <c r="C77" s="100">
        <v>36</v>
      </c>
      <c r="D77" s="93" t="s">
        <v>113</v>
      </c>
      <c r="E77" s="101" t="s">
        <v>114</v>
      </c>
      <c r="F77" s="95">
        <v>1</v>
      </c>
      <c r="G77" s="95">
        <v>0</v>
      </c>
      <c r="H77" s="95">
        <v>0</v>
      </c>
      <c r="I77" s="95">
        <v>0</v>
      </c>
      <c r="J77" s="95">
        <v>0</v>
      </c>
      <c r="K77" s="95">
        <v>0</v>
      </c>
      <c r="L77" s="95"/>
      <c r="M77" s="95"/>
      <c r="N77" s="95"/>
      <c r="O77" s="95"/>
      <c r="P77" s="95"/>
      <c r="Q77" s="95"/>
      <c r="R77" s="95">
        <f>SUM(F77:Q77)</f>
      </c>
    </row>
    <row r="78" ht="50.1" customHeight="1" spans="1:18" x14ac:dyDescent="0.25">
      <c r="A78" s="19"/>
      <c r="B78" s="99"/>
      <c r="C78" s="102"/>
      <c r="D78" s="103"/>
      <c r="E78" s="101" t="s">
        <v>115</v>
      </c>
      <c r="F78" s="95">
        <v>0</v>
      </c>
      <c r="G78" s="95">
        <v>0</v>
      </c>
      <c r="H78" s="95">
        <v>0</v>
      </c>
      <c r="I78" s="95">
        <v>0</v>
      </c>
      <c r="J78" s="95">
        <v>0</v>
      </c>
      <c r="K78" s="95">
        <v>1</v>
      </c>
      <c r="L78" s="95"/>
      <c r="M78" s="95"/>
      <c r="N78" s="95"/>
      <c r="O78" s="95"/>
      <c r="P78" s="95"/>
      <c r="Q78" s="95"/>
      <c r="R78" s="95">
        <f>SUM(F78:Q78)</f>
      </c>
    </row>
    <row r="79" ht="50.1" customHeight="1" spans="1:18" x14ac:dyDescent="0.25">
      <c r="A79" s="19"/>
      <c r="B79" s="99"/>
      <c r="C79" s="104">
        <v>37</v>
      </c>
      <c r="D79" s="105" t="s">
        <v>116</v>
      </c>
      <c r="E79" s="94" t="s">
        <v>116</v>
      </c>
      <c r="F79" s="95">
        <v>0</v>
      </c>
      <c r="G79" s="95">
        <v>0</v>
      </c>
      <c r="H79" s="95">
        <v>0</v>
      </c>
      <c r="I79" s="95">
        <v>0</v>
      </c>
      <c r="J79" s="95">
        <v>0</v>
      </c>
      <c r="K79" s="95">
        <v>0</v>
      </c>
      <c r="L79" s="95"/>
      <c r="M79" s="95"/>
      <c r="N79" s="95"/>
      <c r="O79" s="95"/>
      <c r="P79" s="95"/>
      <c r="Q79" s="95"/>
      <c r="R79" s="95">
        <f>SUM(F79:Q79)</f>
      </c>
    </row>
    <row r="80" ht="50.1" customHeight="1" spans="1:18" x14ac:dyDescent="0.25">
      <c r="A80" s="19"/>
      <c r="B80" s="99"/>
      <c r="C80" s="106">
        <v>38</v>
      </c>
      <c r="D80" s="94" t="s">
        <v>117</v>
      </c>
      <c r="E80" s="94" t="s">
        <v>118</v>
      </c>
      <c r="F80" s="95">
        <v>0</v>
      </c>
      <c r="G80" s="95">
        <v>0</v>
      </c>
      <c r="H80" s="95">
        <v>0</v>
      </c>
      <c r="I80" s="95">
        <v>0</v>
      </c>
      <c r="J80" s="95">
        <v>0</v>
      </c>
      <c r="K80" s="95">
        <v>0</v>
      </c>
      <c r="L80" s="95"/>
      <c r="M80" s="95"/>
      <c r="N80" s="95"/>
      <c r="O80" s="95"/>
      <c r="P80" s="95"/>
      <c r="Q80" s="95"/>
      <c r="R80" s="95">
        <f>SUM(F80:Q80)</f>
      </c>
    </row>
    <row r="81" ht="50.1" customHeight="1" spans="1:18" x14ac:dyDescent="0.25">
      <c r="A81" s="19"/>
      <c r="B81" s="99"/>
      <c r="C81" s="106">
        <v>39</v>
      </c>
      <c r="D81" s="94" t="s">
        <v>119</v>
      </c>
      <c r="E81" s="94" t="s">
        <v>119</v>
      </c>
      <c r="F81" s="95">
        <v>0</v>
      </c>
      <c r="G81" s="95">
        <v>0</v>
      </c>
      <c r="H81" s="95">
        <v>0</v>
      </c>
      <c r="I81" s="95">
        <v>0</v>
      </c>
      <c r="J81" s="95">
        <v>0</v>
      </c>
      <c r="K81" s="95">
        <v>0</v>
      </c>
      <c r="L81" s="95"/>
      <c r="M81" s="95"/>
      <c r="N81" s="95"/>
      <c r="O81" s="95"/>
      <c r="P81" s="95"/>
      <c r="Q81" s="95"/>
      <c r="R81" s="95">
        <f>SUM(F81:Q81)</f>
      </c>
    </row>
    <row r="82" ht="50.1" customHeight="1" spans="1:18" x14ac:dyDescent="0.25">
      <c r="A82" s="19"/>
      <c r="B82" s="99"/>
      <c r="C82" s="106">
        <v>40</v>
      </c>
      <c r="D82" s="94" t="s">
        <v>120</v>
      </c>
      <c r="E82" s="94" t="s">
        <v>120</v>
      </c>
      <c r="F82" s="95">
        <v>0</v>
      </c>
      <c r="G82" s="95">
        <v>0</v>
      </c>
      <c r="H82" s="95">
        <v>0</v>
      </c>
      <c r="I82" s="95">
        <v>0</v>
      </c>
      <c r="J82" s="95">
        <v>0</v>
      </c>
      <c r="K82" s="95">
        <v>0</v>
      </c>
      <c r="L82" s="95"/>
      <c r="M82" s="95"/>
      <c r="N82" s="95"/>
      <c r="O82" s="95"/>
      <c r="P82" s="95"/>
      <c r="Q82" s="95"/>
      <c r="R82" s="95">
        <f>SUM(F82:Q82)</f>
      </c>
    </row>
    <row r="83" ht="50.1" customHeight="1" spans="1:18" x14ac:dyDescent="0.25">
      <c r="A83" s="19"/>
      <c r="B83" s="107"/>
      <c r="C83" s="106">
        <v>41</v>
      </c>
      <c r="D83" s="94" t="s">
        <v>121</v>
      </c>
      <c r="E83" s="94" t="s">
        <v>121</v>
      </c>
      <c r="F83" s="95">
        <v>2</v>
      </c>
      <c r="G83" s="95">
        <v>1</v>
      </c>
      <c r="H83" s="95">
        <v>0</v>
      </c>
      <c r="I83" s="95">
        <v>0</v>
      </c>
      <c r="J83" s="95">
        <v>13</v>
      </c>
      <c r="K83" s="95">
        <v>56</v>
      </c>
      <c r="L83" s="95"/>
      <c r="M83" s="95"/>
      <c r="N83" s="95"/>
      <c r="O83" s="95"/>
      <c r="P83" s="95"/>
      <c r="Q83" s="95"/>
      <c r="R83" s="95">
        <f>SUM(F83:Q83)</f>
      </c>
    </row>
    <row r="84" ht="50.1" customHeight="1" spans="1:18" x14ac:dyDescent="0.25">
      <c r="A84" s="108"/>
      <c r="B84" s="109" t="s">
        <v>19</v>
      </c>
      <c r="C84" s="109"/>
      <c r="D84" s="109"/>
      <c r="E84" s="109"/>
      <c r="F84" s="110">
        <f>SUM(F6:F83)</f>
      </c>
      <c r="G84" s="110">
        <f>SUM(G6:G83)</f>
      </c>
      <c r="H84" s="110">
        <f>SUM(H6:H83)</f>
      </c>
      <c r="I84" s="110">
        <f>SUM(I6:I83)</f>
      </c>
      <c r="J84" s="110">
        <f>SUM(J6:J83)</f>
      </c>
      <c r="K84" s="110">
        <f>SUM(K6:K83)</f>
      </c>
      <c r="L84" s="110">
        <f>SUM(L6:L83)</f>
      </c>
      <c r="M84" s="110">
        <f>SUM(M6:M83)</f>
      </c>
      <c r="N84" s="110">
        <f>SUM(N6:N83)</f>
      </c>
      <c r="O84" s="110">
        <f>SUM(O6:O83)</f>
      </c>
      <c r="P84" s="110">
        <f>SUM(P6:P83)</f>
      </c>
      <c r="Q84" s="110">
        <f>SUM(Q6:Q83)</f>
      </c>
      <c r="R84" s="110">
        <f>SUM(R6:R83)</f>
      </c>
    </row>
    <row r="85" ht="50.1" customHeight="1" spans="1:18" x14ac:dyDescent="0.25">
      <c r="A85" s="1"/>
      <c r="B85" s="2"/>
      <c r="C85" s="111"/>
      <c r="D85" s="112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50.1" customHeight="1" spans="1:18" x14ac:dyDescent="0.25">
      <c r="A86" s="19"/>
      <c r="B86" s="2"/>
      <c r="C86" s="3"/>
      <c r="D86" s="4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50.1" customHeight="1" spans="1:18" x14ac:dyDescent="0.25">
      <c r="A87" s="19"/>
      <c r="B87" s="2"/>
      <c r="C87" s="3"/>
      <c r="D87" s="4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50.1" customHeight="1" spans="1:18" x14ac:dyDescent="0.25">
      <c r="A88" s="19"/>
      <c r="B88" s="2"/>
      <c r="C88" s="3"/>
      <c r="D88" s="4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50.1" customHeight="1" spans="1:18" x14ac:dyDescent="0.25">
      <c r="A89" s="19"/>
      <c r="B89" s="2"/>
      <c r="C89" s="3"/>
      <c r="D89" s="4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50.1" customHeight="1" spans="1:18" x14ac:dyDescent="0.25">
      <c r="A90" s="19"/>
      <c r="B90" s="2"/>
      <c r="C90" s="3"/>
      <c r="D90" s="4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50.1" customHeight="1" spans="1:18" x14ac:dyDescent="0.25">
      <c r="A91" s="19"/>
      <c r="B91" s="2"/>
      <c r="C91" s="3"/>
      <c r="D91" s="4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50.1" customHeight="1" spans="1:18" x14ac:dyDescent="0.25">
      <c r="A92" s="19"/>
      <c r="B92" s="2"/>
      <c r="C92" s="3"/>
      <c r="D92" s="4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50.1" customHeight="1" spans="1:18" x14ac:dyDescent="0.25">
      <c r="A93" s="19"/>
      <c r="B93" s="2"/>
      <c r="C93" s="3"/>
      <c r="D93" s="4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50.1" customHeight="1" spans="1:18" x14ac:dyDescent="0.25">
      <c r="A94" s="19"/>
      <c r="B94" s="2"/>
      <c r="C94" s="3"/>
      <c r="D94" s="4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/>
      <c r="B95" s="2"/>
      <c r="C95" s="3"/>
      <c r="D95" s="4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/>
      <c r="B96" s="2"/>
      <c r="C96" s="3"/>
      <c r="D96" s="4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/>
      <c r="B97" s="2"/>
      <c r="C97" s="3"/>
      <c r="D97" s="4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/>
      <c r="B98" s="2"/>
      <c r="C98" s="3"/>
      <c r="D98" s="4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2"/>
      <c r="C99" s="3"/>
      <c r="D99" s="4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/>
      <c r="B100" s="2"/>
      <c r="C100" s="3"/>
      <c r="D100" s="4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/>
      <c r="B101" s="2"/>
      <c r="C101" s="3"/>
      <c r="D101" s="4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50.1" customHeight="1" spans="1:18" x14ac:dyDescent="0.25">
      <c r="A102" s="114"/>
      <c r="B102" s="2"/>
      <c r="C102" s="3"/>
      <c r="D102" s="4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50.1" customHeight="1" spans="1:18" x14ac:dyDescent="0.25">
      <c r="A103" s="114"/>
      <c r="B103" s="2"/>
      <c r="C103" s="3"/>
      <c r="D103" s="4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50.1" customHeight="1" spans="1:18" x14ac:dyDescent="0.25">
      <c r="A104" s="114"/>
      <c r="B104" s="2"/>
      <c r="C104" s="3"/>
      <c r="D104" s="4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50.1" customHeight="1" spans="1:18" x14ac:dyDescent="0.25">
      <c r="A105" s="114"/>
      <c r="B105" s="2"/>
      <c r="C105" s="3"/>
      <c r="D105" s="4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50.1" customHeight="1" spans="1:18" x14ac:dyDescent="0.25">
      <c r="A106" s="114"/>
      <c r="B106" s="2"/>
      <c r="C106" s="3"/>
      <c r="D106" s="4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50.1" customHeight="1" spans="1:18" x14ac:dyDescent="0.25">
      <c r="A107" s="114"/>
      <c r="B107" s="2"/>
      <c r="C107" s="3"/>
      <c r="D107" s="4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50.1" customHeight="1" spans="1:18" x14ac:dyDescent="0.25">
      <c r="A108" s="114"/>
      <c r="B108" s="2"/>
      <c r="C108" s="3"/>
      <c r="D108" s="4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50.1" customHeight="1" spans="1:18" x14ac:dyDescent="0.25">
      <c r="A109" s="114"/>
      <c r="B109" s="2"/>
      <c r="C109" s="3"/>
      <c r="D109" s="4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50.1" customHeight="1" spans="1:18" x14ac:dyDescent="0.25">
      <c r="A110" s="114"/>
      <c r="B110" s="2"/>
      <c r="C110" s="3"/>
      <c r="D110" s="4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50.1" customHeight="1" spans="1:18" x14ac:dyDescent="0.25">
      <c r="A111" s="114"/>
      <c r="B111" s="2"/>
      <c r="C111" s="3"/>
      <c r="D111" s="4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50.1" customHeight="1" spans="1:18" x14ac:dyDescent="0.25">
      <c r="A112" s="114"/>
      <c r="B112" s="2"/>
      <c r="C112" s="3"/>
      <c r="D112" s="4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50.1" customHeight="1" spans="1:18" x14ac:dyDescent="0.25">
      <c r="A113" s="114"/>
      <c r="B113" s="2"/>
      <c r="C113" s="3"/>
      <c r="D113" s="4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50.1" customHeight="1" spans="1:18" x14ac:dyDescent="0.25">
      <c r="A114" s="114"/>
      <c r="B114" s="2"/>
      <c r="C114" s="3"/>
      <c r="D114" s="4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50.1" customHeight="1" spans="1:18" x14ac:dyDescent="0.25">
      <c r="A115" s="114"/>
      <c r="B115" s="2"/>
      <c r="C115" s="3"/>
      <c r="D115" s="4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50.1" customHeight="1" spans="1:18" x14ac:dyDescent="0.25">
      <c r="A116" s="114"/>
      <c r="B116" s="2"/>
      <c r="C116" s="3"/>
      <c r="D116" s="4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50.1" customHeight="1" spans="1:18" x14ac:dyDescent="0.25">
      <c r="A117" s="114"/>
      <c r="B117" s="2"/>
      <c r="C117" s="3"/>
      <c r="D117" s="4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50.1" customHeight="1" spans="1:18" x14ac:dyDescent="0.25">
      <c r="A118" s="114"/>
      <c r="B118" s="2"/>
      <c r="C118" s="3"/>
      <c r="D118" s="4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50.1" customHeight="1" spans="1:18" x14ac:dyDescent="0.25">
      <c r="A119" s="114"/>
      <c r="B119" s="2"/>
      <c r="C119" s="3"/>
      <c r="D119" s="4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50.1" customHeight="1" spans="1:18" x14ac:dyDescent="0.25">
      <c r="A120" s="114"/>
      <c r="B120" s="2"/>
      <c r="C120" s="3"/>
      <c r="D120" s="4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50.1" customHeight="1" spans="1:18" x14ac:dyDescent="0.25">
      <c r="A121" s="114"/>
      <c r="B121" s="2"/>
      <c r="C121" s="3"/>
      <c r="D121" s="4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50.1" customHeight="1" spans="1:18" x14ac:dyDescent="0.25">
      <c r="A122" s="114"/>
      <c r="B122" s="2"/>
      <c r="C122" s="3"/>
      <c r="D122" s="4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50.1" customHeight="1" spans="1:18" x14ac:dyDescent="0.25">
      <c r="A123" s="114"/>
      <c r="B123" s="2"/>
      <c r="C123" s="3"/>
      <c r="D123" s="4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50.1" customHeight="1" spans="1:18" x14ac:dyDescent="0.25">
      <c r="A124" s="114"/>
      <c r="B124" s="2"/>
      <c r="C124" s="3"/>
      <c r="D124" s="4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50.1" customHeight="1" spans="1:18" x14ac:dyDescent="0.25">
      <c r="A125" s="114"/>
      <c r="B125" s="2"/>
      <c r="C125" s="3"/>
      <c r="D125" s="4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50.1" customHeight="1" spans="1:18" x14ac:dyDescent="0.25">
      <c r="A126" s="114"/>
      <c r="B126" s="2"/>
      <c r="C126" s="3"/>
      <c r="D126" s="4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50.1" customHeight="1" spans="1:18" x14ac:dyDescent="0.25">
      <c r="A127" s="114"/>
      <c r="B127" s="2"/>
      <c r="C127" s="3"/>
      <c r="D127" s="4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50.1" customHeight="1" spans="1:18" x14ac:dyDescent="0.25">
      <c r="A128" s="114"/>
      <c r="B128" s="2"/>
      <c r="C128" s="3"/>
      <c r="D128" s="4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50.1" customHeight="1" spans="1:18" x14ac:dyDescent="0.25">
      <c r="A129" s="114"/>
      <c r="B129" s="2"/>
      <c r="C129" s="3"/>
      <c r="D129" s="4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50.1" customHeight="1" spans="1:18" x14ac:dyDescent="0.25">
      <c r="A130" s="114"/>
      <c r="B130" s="2"/>
      <c r="C130" s="3"/>
      <c r="D130" s="4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50.1" customHeight="1" spans="1:18" x14ac:dyDescent="0.25">
      <c r="A131" s="114"/>
      <c r="B131" s="2"/>
      <c r="C131" s="3"/>
      <c r="D131" s="4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50.1" customHeight="1" spans="1:18" x14ac:dyDescent="0.25">
      <c r="A132" s="114"/>
      <c r="B132" s="2"/>
      <c r="C132" s="3"/>
      <c r="D132" s="4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50.1" customHeight="1" spans="1:18" x14ac:dyDescent="0.25">
      <c r="A133" s="114"/>
      <c r="B133" s="2"/>
      <c r="C133" s="3"/>
      <c r="D133" s="4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50.1" customHeight="1" spans="1:18" x14ac:dyDescent="0.25">
      <c r="A134" s="114"/>
      <c r="B134" s="2"/>
      <c r="C134" s="3"/>
      <c r="D134" s="4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50.1" customHeight="1" spans="1:18" x14ac:dyDescent="0.25">
      <c r="A135" s="114"/>
      <c r="B135" s="2"/>
      <c r="C135" s="3"/>
      <c r="D135" s="4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50.1" customHeight="1" spans="1:18" x14ac:dyDescent="0.25">
      <c r="A136" s="114"/>
      <c r="B136" s="2"/>
      <c r="C136" s="3"/>
      <c r="D136" s="4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50.1" customHeight="1" spans="1:18" x14ac:dyDescent="0.25">
      <c r="A137" s="114"/>
      <c r="B137" s="2"/>
      <c r="C137" s="3"/>
      <c r="D137" s="4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50.1" customHeight="1" spans="1:18" x14ac:dyDescent="0.25">
      <c r="A138" s="114"/>
      <c r="B138" s="2"/>
      <c r="C138" s="3"/>
      <c r="D138" s="4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50.1" customHeight="1" spans="1:18" x14ac:dyDescent="0.25">
      <c r="A139" s="114"/>
      <c r="B139" s="2"/>
      <c r="C139" s="3"/>
      <c r="D139" s="4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50.1" customHeight="1" spans="1:18" x14ac:dyDescent="0.25">
      <c r="A140" s="114"/>
      <c r="B140" s="2"/>
      <c r="C140" s="3"/>
      <c r="D140" s="4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50.1" customHeight="1" spans="1:18" x14ac:dyDescent="0.25">
      <c r="A141" s="114"/>
      <c r="B141" s="2"/>
      <c r="C141" s="3"/>
      <c r="D141" s="4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50.1" customHeight="1" spans="1:18" x14ac:dyDescent="0.25">
      <c r="A142" s="114"/>
      <c r="B142" s="2"/>
      <c r="C142" s="3"/>
      <c r="D142" s="4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50.1" customHeight="1" spans="1:18" x14ac:dyDescent="0.25">
      <c r="A143" s="114"/>
      <c r="B143" s="2"/>
      <c r="C143" s="3"/>
      <c r="D143" s="4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50.1" customHeight="1" spans="1:18" x14ac:dyDescent="0.25">
      <c r="A144" s="114"/>
      <c r="B144" s="2"/>
      <c r="C144" s="3"/>
      <c r="D144" s="4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50.1" customHeight="1" spans="1:18" x14ac:dyDescent="0.25">
      <c r="A145" s="114"/>
      <c r="B145" s="2"/>
      <c r="C145" s="3"/>
      <c r="D145" s="4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50.1" customHeight="1" spans="1:18" x14ac:dyDescent="0.25">
      <c r="A146" s="114"/>
      <c r="B146" s="2"/>
      <c r="C146" s="3"/>
      <c r="D146" s="4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50.1" customHeight="1" spans="1:18" x14ac:dyDescent="0.25">
      <c r="A147" s="114"/>
      <c r="B147" s="2"/>
      <c r="C147" s="3"/>
      <c r="D147" s="4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50.1" customHeight="1" spans="1:18" x14ac:dyDescent="0.25">
      <c r="A148" s="114"/>
      <c r="B148" s="2"/>
      <c r="C148" s="3"/>
      <c r="D148" s="4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50.1" customHeight="1" spans="1:18" x14ac:dyDescent="0.25">
      <c r="A149" s="114"/>
      <c r="B149" s="2"/>
      <c r="C149" s="3"/>
      <c r="D149" s="4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50.1" customHeight="1" spans="1:18" x14ac:dyDescent="0.25">
      <c r="A150" s="114"/>
      <c r="B150" s="2"/>
      <c r="C150" s="3"/>
      <c r="D150" s="4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50.1" customHeight="1" spans="1:18" x14ac:dyDescent="0.25">
      <c r="A151" s="114"/>
      <c r="B151" s="2"/>
      <c r="C151" s="3"/>
      <c r="D151" s="4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50.1" customHeight="1" spans="1:18" x14ac:dyDescent="0.25">
      <c r="A152" s="114"/>
      <c r="B152" s="2"/>
      <c r="C152" s="3"/>
      <c r="D152" s="4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50.1" customHeight="1" spans="1:18" x14ac:dyDescent="0.25">
      <c r="A153" s="114"/>
      <c r="B153" s="2"/>
      <c r="C153" s="3"/>
      <c r="D153" s="4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50.1" customHeight="1" spans="1:18" x14ac:dyDescent="0.25">
      <c r="A154" s="114"/>
      <c r="B154" s="2"/>
      <c r="C154" s="3"/>
      <c r="D154" s="4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50.1" customHeight="1" spans="1:18" x14ac:dyDescent="0.25">
      <c r="A155" s="114"/>
      <c r="B155" s="2"/>
      <c r="C155" s="3"/>
      <c r="D155" s="4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50.1" customHeight="1" spans="1:18" x14ac:dyDescent="0.25">
      <c r="A156" s="114"/>
      <c r="B156" s="2"/>
      <c r="C156" s="3"/>
      <c r="D156" s="4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50.1" customHeight="1" spans="1:18" x14ac:dyDescent="0.25">
      <c r="A157" s="114"/>
      <c r="B157" s="2"/>
      <c r="C157" s="3"/>
      <c r="D157" s="4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50.1" customHeight="1" spans="1:18" x14ac:dyDescent="0.25">
      <c r="A158" s="114"/>
      <c r="B158" s="2"/>
      <c r="C158" s="3"/>
      <c r="D158" s="4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50.1" customHeight="1" spans="1:18" x14ac:dyDescent="0.25">
      <c r="A159" s="114"/>
      <c r="B159" s="2"/>
      <c r="C159" s="3"/>
      <c r="D159" s="4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50.1" customHeight="1" spans="1:18" x14ac:dyDescent="0.25">
      <c r="A160" s="114"/>
      <c r="B160" s="2"/>
      <c r="C160" s="3"/>
      <c r="D160" s="4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50.1" customHeight="1" spans="1:18" x14ac:dyDescent="0.25">
      <c r="A161" s="114"/>
      <c r="B161" s="2"/>
      <c r="C161" s="3"/>
      <c r="D161" s="4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50.1" customHeight="1" spans="1:18" x14ac:dyDescent="0.25">
      <c r="A162" s="114"/>
      <c r="B162" s="2"/>
      <c r="C162" s="3"/>
      <c r="D162" s="4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50.1" customHeight="1" spans="1:18" x14ac:dyDescent="0.25">
      <c r="A163" s="114"/>
      <c r="B163" s="2"/>
      <c r="C163" s="3"/>
      <c r="D163" s="4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50.1" customHeight="1" spans="1:18" x14ac:dyDescent="0.25">
      <c r="A164" s="114"/>
      <c r="B164" s="2"/>
      <c r="C164" s="3"/>
      <c r="D164" s="4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50.1" customHeight="1" spans="1:18" x14ac:dyDescent="0.25">
      <c r="A165" s="114"/>
      <c r="B165" s="2"/>
      <c r="C165" s="3"/>
      <c r="D165" s="4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50.1" customHeight="1" spans="1:18" x14ac:dyDescent="0.25">
      <c r="A166" s="114"/>
      <c r="B166" s="2"/>
      <c r="C166" s="3"/>
      <c r="D166" s="4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50.1" customHeight="1" spans="1:18" x14ac:dyDescent="0.25">
      <c r="A167" s="114"/>
      <c r="B167" s="2"/>
      <c r="C167" s="3"/>
      <c r="D167" s="4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50.1" customHeight="1" spans="1:18" x14ac:dyDescent="0.25">
      <c r="A168" s="114"/>
      <c r="B168" s="2"/>
      <c r="C168" s="3"/>
      <c r="D168" s="4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50.1" customHeight="1" spans="1:18" x14ac:dyDescent="0.25">
      <c r="A169" s="114"/>
      <c r="B169" s="2"/>
      <c r="C169" s="3"/>
      <c r="D169" s="4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50.1" customHeight="1" spans="1:18" x14ac:dyDescent="0.25">
      <c r="A170" s="114"/>
      <c r="B170" s="2"/>
      <c r="C170" s="3"/>
      <c r="D170" s="4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50.1" customHeight="1" spans="1:18" x14ac:dyDescent="0.25">
      <c r="A171" s="114"/>
      <c r="B171" s="2"/>
      <c r="C171" s="3"/>
      <c r="D171" s="4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50.1" customHeight="1" spans="1:18" x14ac:dyDescent="0.25">
      <c r="A172" s="114"/>
      <c r="B172" s="2"/>
      <c r="C172" s="3"/>
      <c r="D172" s="4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50.1" customHeight="1" spans="1:18" x14ac:dyDescent="0.25">
      <c r="A173" s="114"/>
      <c r="B173" s="2"/>
      <c r="C173" s="3"/>
      <c r="D173" s="4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50.1" customHeight="1" spans="1:18" x14ac:dyDescent="0.25">
      <c r="A174" s="114"/>
      <c r="B174" s="2"/>
      <c r="C174" s="3"/>
      <c r="D174" s="4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50.1" customHeight="1" spans="1:18" x14ac:dyDescent="0.25">
      <c r="A175" s="114"/>
      <c r="B175" s="2"/>
      <c r="C175" s="3"/>
      <c r="D175" s="4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50.1" customHeight="1" spans="1:18" x14ac:dyDescent="0.25">
      <c r="A176" s="114"/>
      <c r="B176" s="2"/>
      <c r="C176" s="3"/>
      <c r="D176" s="4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50.1" customHeight="1" spans="1:18" x14ac:dyDescent="0.25">
      <c r="A177" s="114"/>
      <c r="B177" s="2"/>
      <c r="C177" s="3"/>
      <c r="D177" s="4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50.1" customHeight="1" spans="1:18" x14ac:dyDescent="0.25">
      <c r="A178" s="114"/>
      <c r="B178" s="2"/>
      <c r="C178" s="3"/>
      <c r="D178" s="4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50.1" customHeight="1" spans="1:18" x14ac:dyDescent="0.25">
      <c r="A179" s="114"/>
      <c r="B179" s="2"/>
      <c r="C179" s="3"/>
      <c r="D179" s="4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50.1" customHeight="1" spans="1:18" x14ac:dyDescent="0.25">
      <c r="A180" s="114"/>
      <c r="B180" s="2"/>
      <c r="C180" s="3"/>
      <c r="D180" s="4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50.1" customHeight="1" spans="1:18" x14ac:dyDescent="0.25">
      <c r="A181" s="114"/>
      <c r="B181" s="2"/>
      <c r="C181" s="3"/>
      <c r="D181" s="4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50.1" customHeight="1" spans="1:18" x14ac:dyDescent="0.25">
      <c r="A182" s="114"/>
      <c r="B182" s="2"/>
      <c r="C182" s="3"/>
      <c r="D182" s="4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50.1" customHeight="1" spans="1:18" x14ac:dyDescent="0.25">
      <c r="A183" s="114"/>
      <c r="B183" s="2"/>
      <c r="C183" s="3"/>
      <c r="D183" s="4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50.1" customHeight="1" spans="1:18" x14ac:dyDescent="0.25">
      <c r="A184" s="114"/>
      <c r="B184" s="2"/>
      <c r="C184" s="3"/>
      <c r="D184" s="4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50.1" customHeight="1" spans="1:18" x14ac:dyDescent="0.25">
      <c r="A185" s="114"/>
      <c r="B185" s="2"/>
      <c r="C185" s="3"/>
      <c r="D185" s="4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50.1" customHeight="1" spans="1:18" x14ac:dyDescent="0.25">
      <c r="A186" s="114"/>
      <c r="B186" s="2"/>
      <c r="C186" s="3"/>
      <c r="D186" s="4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50.1" customHeight="1" spans="1:18" x14ac:dyDescent="0.25">
      <c r="A187" s="114"/>
      <c r="B187" s="2"/>
      <c r="C187" s="3"/>
      <c r="D187" s="4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50.1" customHeight="1" spans="1:18" x14ac:dyDescent="0.25">
      <c r="A188" s="114"/>
      <c r="B188" s="2"/>
      <c r="C188" s="3"/>
      <c r="D188" s="4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50.1" customHeight="1" spans="1:18" x14ac:dyDescent="0.25">
      <c r="A189" s="114"/>
      <c r="B189" s="2"/>
      <c r="C189" s="3"/>
      <c r="D189" s="4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50.1" customHeight="1" spans="1:18" x14ac:dyDescent="0.25">
      <c r="A190" s="114"/>
      <c r="B190" s="2"/>
      <c r="C190" s="3"/>
      <c r="D190" s="4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50.1" customHeight="1" spans="1:18" x14ac:dyDescent="0.25">
      <c r="A191" s="114"/>
      <c r="B191" s="2"/>
      <c r="C191" s="3"/>
      <c r="D191" s="4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50.1" customHeight="1" spans="1:18" x14ac:dyDescent="0.25">
      <c r="A192" s="114"/>
      <c r="B192" s="2"/>
      <c r="C192" s="3"/>
      <c r="D192" s="4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50.1" customHeight="1" spans="1:18" x14ac:dyDescent="0.25">
      <c r="A193" s="114"/>
      <c r="B193" s="2"/>
      <c r="C193" s="3"/>
      <c r="D193" s="4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50.1" customHeight="1" spans="1:18" x14ac:dyDescent="0.25">
      <c r="A194" s="114"/>
      <c r="B194" s="2"/>
      <c r="C194" s="3"/>
      <c r="D194" s="4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50.1" customHeight="1" spans="1:18" x14ac:dyDescent="0.25">
      <c r="A195" s="114"/>
      <c r="B195" s="2"/>
      <c r="C195" s="3"/>
      <c r="D195" s="4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50.1" customHeight="1" spans="1:18" x14ac:dyDescent="0.25">
      <c r="A196" s="114"/>
      <c r="B196" s="2"/>
      <c r="C196" s="3"/>
      <c r="D196" s="4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50.1" customHeight="1" spans="1:18" x14ac:dyDescent="0.25">
      <c r="A197" s="114"/>
      <c r="B197" s="2"/>
      <c r="C197" s="3"/>
      <c r="D197" s="4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50.1" customHeight="1" spans="1:18" x14ac:dyDescent="0.25">
      <c r="A198" s="114"/>
      <c r="B198" s="2"/>
      <c r="C198" s="3"/>
      <c r="D198" s="4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50.1" customHeight="1" spans="1:18" x14ac:dyDescent="0.25">
      <c r="A199" s="114"/>
      <c r="B199" s="2"/>
      <c r="C199" s="3"/>
      <c r="D199" s="4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50.1" customHeight="1" spans="1:18" x14ac:dyDescent="0.25">
      <c r="A200" s="114"/>
      <c r="B200" s="2"/>
      <c r="C200" s="3"/>
      <c r="D200" s="4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50.1" customHeight="1" spans="1:18" x14ac:dyDescent="0.25">
      <c r="A201" s="114"/>
      <c r="B201" s="2"/>
      <c r="C201" s="3"/>
      <c r="D201" s="4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50.1" customHeight="1" spans="1:18" x14ac:dyDescent="0.25">
      <c r="A202" s="114"/>
      <c r="B202" s="2"/>
      <c r="C202" s="3"/>
      <c r="D202" s="4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50.1" customHeight="1" spans="1:18" x14ac:dyDescent="0.25">
      <c r="A203" s="114"/>
      <c r="B203" s="2"/>
      <c r="C203" s="3"/>
      <c r="D203" s="4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50.1" customHeight="1" spans="1:18" x14ac:dyDescent="0.25">
      <c r="A204" s="114"/>
      <c r="B204" s="2"/>
      <c r="C204" s="3"/>
      <c r="D204" s="4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50.1" customHeight="1" spans="1:18" x14ac:dyDescent="0.25">
      <c r="A205" s="114"/>
      <c r="B205" s="2"/>
      <c r="C205" s="3"/>
      <c r="D205" s="4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50.1" customHeight="1" spans="1:18" x14ac:dyDescent="0.25">
      <c r="A206" s="114"/>
      <c r="B206" s="2"/>
      <c r="C206" s="3"/>
      <c r="D206" s="4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50.1" customHeight="1" spans="1:18" x14ac:dyDescent="0.25">
      <c r="A207" s="114"/>
      <c r="B207" s="2"/>
      <c r="C207" s="3"/>
      <c r="D207" s="4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50.1" customHeight="1" spans="1:18" x14ac:dyDescent="0.25">
      <c r="A208" s="114"/>
      <c r="B208" s="2"/>
      <c r="C208" s="3"/>
      <c r="D208" s="4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50.1" customHeight="1" spans="1:18" x14ac:dyDescent="0.25">
      <c r="A209" s="114"/>
      <c r="B209" s="2"/>
      <c r="C209" s="3"/>
      <c r="D209" s="4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50.1" customHeight="1" spans="1:18" x14ac:dyDescent="0.25">
      <c r="A210" s="114"/>
      <c r="B210" s="2"/>
      <c r="C210" s="3"/>
      <c r="D210" s="4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50.1" customHeight="1" spans="1:18" x14ac:dyDescent="0.25">
      <c r="A211" s="114"/>
      <c r="B211" s="2"/>
      <c r="C211" s="3"/>
      <c r="D211" s="4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50.1" customHeight="1" spans="1:18" x14ac:dyDescent="0.25">
      <c r="A212" s="114"/>
      <c r="B212" s="2"/>
      <c r="C212" s="3"/>
      <c r="D212" s="4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50.1" customHeight="1" spans="1:18" x14ac:dyDescent="0.25">
      <c r="A213" s="114"/>
      <c r="B213" s="2"/>
      <c r="C213" s="3"/>
      <c r="D213" s="4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50.1" customHeight="1" spans="1:18" x14ac:dyDescent="0.25">
      <c r="A214" s="114"/>
      <c r="B214" s="2"/>
      <c r="C214" s="3"/>
      <c r="D214" s="4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50.1" customHeight="1" spans="1:18" x14ac:dyDescent="0.25">
      <c r="A215" s="114"/>
      <c r="B215" s="2"/>
      <c r="C215" s="3"/>
      <c r="D215" s="4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50.1" customHeight="1" spans="1:18" x14ac:dyDescent="0.25">
      <c r="A216" s="114"/>
      <c r="B216" s="2"/>
      <c r="C216" s="3"/>
      <c r="D216" s="4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50.1" customHeight="1" spans="1:18" x14ac:dyDescent="0.25">
      <c r="A217" s="114"/>
      <c r="B217" s="2"/>
      <c r="C217" s="3"/>
      <c r="D217" s="4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50.1" customHeight="1" spans="1:18" x14ac:dyDescent="0.25">
      <c r="A218" s="114"/>
      <c r="B218" s="2"/>
      <c r="C218" s="3"/>
      <c r="D218" s="4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50.1" customHeight="1" spans="1:18" x14ac:dyDescent="0.25">
      <c r="A219" s="114"/>
      <c r="B219" s="2"/>
      <c r="C219" s="3"/>
      <c r="D219" s="4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50.1" customHeight="1" spans="1:18" x14ac:dyDescent="0.25">
      <c r="A220" s="114"/>
      <c r="B220" s="2"/>
      <c r="C220" s="3"/>
      <c r="D220" s="4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50.1" customHeight="1" spans="1:18" x14ac:dyDescent="0.25">
      <c r="A221" s="114"/>
      <c r="B221" s="2"/>
      <c r="C221" s="3"/>
      <c r="D221" s="4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50.1" customHeight="1" spans="1:18" x14ac:dyDescent="0.25">
      <c r="A222" s="114"/>
      <c r="B222" s="2"/>
      <c r="C222" s="3"/>
      <c r="D222" s="4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50.1" customHeight="1" spans="1:18" x14ac:dyDescent="0.25">
      <c r="A223" s="114"/>
      <c r="B223" s="2"/>
      <c r="C223" s="3"/>
      <c r="D223" s="4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50.1" customHeight="1" spans="1:18" x14ac:dyDescent="0.25">
      <c r="A224" s="114"/>
      <c r="B224" s="2"/>
      <c r="C224" s="3"/>
      <c r="D224" s="4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50.1" customHeight="1" spans="1:18" x14ac:dyDescent="0.25">
      <c r="A225" s="114"/>
      <c r="B225" s="2"/>
      <c r="C225" s="3"/>
      <c r="D225" s="4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50.1" customHeight="1" spans="1:18" x14ac:dyDescent="0.25">
      <c r="A226" s="114"/>
      <c r="B226" s="2"/>
      <c r="C226" s="3"/>
      <c r="D226" s="4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50.1" customHeight="1" spans="1:18" x14ac:dyDescent="0.25">
      <c r="A227" s="114"/>
      <c r="B227" s="2"/>
      <c r="C227" s="3"/>
      <c r="D227" s="4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50.1" customHeight="1" spans="1:18" x14ac:dyDescent="0.25">
      <c r="A228" s="114"/>
      <c r="B228" s="2"/>
      <c r="C228" s="3"/>
      <c r="D228" s="4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50.1" customHeight="1" spans="1:18" x14ac:dyDescent="0.25">
      <c r="A229" s="114"/>
      <c r="B229" s="2"/>
      <c r="C229" s="3"/>
      <c r="D229" s="4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50.1" customHeight="1" spans="1:18" x14ac:dyDescent="0.25">
      <c r="A230" s="114"/>
      <c r="B230" s="2"/>
      <c r="C230" s="3"/>
      <c r="D230" s="4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50.1" customHeight="1" spans="1:18" x14ac:dyDescent="0.25">
      <c r="A231" s="114"/>
      <c r="B231" s="2"/>
      <c r="C231" s="3"/>
      <c r="D231" s="4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50.1" customHeight="1" spans="1:18" x14ac:dyDescent="0.25">
      <c r="A232" s="114"/>
      <c r="B232" s="2"/>
      <c r="C232" s="3"/>
      <c r="D232" s="4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50.1" customHeight="1" spans="1:18" x14ac:dyDescent="0.25">
      <c r="A233" s="114"/>
      <c r="B233" s="2"/>
      <c r="C233" s="3"/>
      <c r="D233" s="4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50.1" customHeight="1" spans="1:18" x14ac:dyDescent="0.25">
      <c r="A234" s="114"/>
      <c r="B234" s="2"/>
      <c r="C234" s="3"/>
      <c r="D234" s="4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50.1" customHeight="1" spans="1:18" x14ac:dyDescent="0.25">
      <c r="A235" s="114"/>
      <c r="B235" s="2"/>
      <c r="C235" s="3"/>
      <c r="D235" s="4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50.1" customHeight="1" spans="1:18" x14ac:dyDescent="0.25">
      <c r="A236" s="114"/>
      <c r="B236" s="2"/>
      <c r="C236" s="3"/>
      <c r="D236" s="4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50.1" customHeight="1" spans="1:18" x14ac:dyDescent="0.25">
      <c r="A237" s="114"/>
      <c r="B237" s="2"/>
      <c r="C237" s="3"/>
      <c r="D237" s="4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50.1" customHeight="1" spans="1:18" x14ac:dyDescent="0.25">
      <c r="A238" s="114"/>
      <c r="B238" s="2"/>
      <c r="C238" s="3"/>
      <c r="D238" s="4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50.1" customHeight="1" spans="1:18" x14ac:dyDescent="0.25">
      <c r="A239" s="114"/>
      <c r="B239" s="2"/>
      <c r="C239" s="3"/>
      <c r="D239" s="4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50.1" customHeight="1" spans="1:18" x14ac:dyDescent="0.25">
      <c r="A240" s="114"/>
      <c r="B240" s="2"/>
      <c r="C240" s="3"/>
      <c r="D240" s="4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50.1" customHeight="1" spans="1:18" x14ac:dyDescent="0.25">
      <c r="A241" s="114"/>
      <c r="B241" s="2"/>
      <c r="C241" s="3"/>
      <c r="D241" s="4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50.1" customHeight="1" spans="1:18" x14ac:dyDescent="0.25">
      <c r="A242" s="114"/>
      <c r="B242" s="2"/>
      <c r="C242" s="3"/>
      <c r="D242" s="4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50.1" customHeight="1" spans="1:18" x14ac:dyDescent="0.25">
      <c r="A243" s="114"/>
      <c r="B243" s="2"/>
      <c r="C243" s="3"/>
      <c r="D243" s="4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50.1" customHeight="1" spans="1:18" x14ac:dyDescent="0.25">
      <c r="A244" s="114"/>
      <c r="B244" s="2"/>
      <c r="C244" s="3"/>
      <c r="D244" s="4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50.1" customHeight="1" spans="1:18" x14ac:dyDescent="0.25">
      <c r="A245" s="114"/>
      <c r="B245" s="2"/>
      <c r="C245" s="3"/>
      <c r="D245" s="4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50.1" customHeight="1" spans="1:18" x14ac:dyDescent="0.25">
      <c r="A246" s="114"/>
      <c r="B246" s="2"/>
      <c r="C246" s="3"/>
      <c r="D246" s="4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50.1" customHeight="1" spans="1:18" x14ac:dyDescent="0.25">
      <c r="A247" s="114"/>
      <c r="B247" s="2"/>
      <c r="C247" s="3"/>
      <c r="D247" s="4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50.1" customHeight="1" spans="1:18" x14ac:dyDescent="0.25">
      <c r="A248" s="114"/>
      <c r="B248" s="2"/>
      <c r="C248" s="3"/>
      <c r="D248" s="4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50.1" customHeight="1" spans="1:18" x14ac:dyDescent="0.25">
      <c r="A249" s="114"/>
      <c r="B249" s="2"/>
      <c r="C249" s="3"/>
      <c r="D249" s="4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50.1" customHeight="1" spans="1:18" x14ac:dyDescent="0.25">
      <c r="A250" s="114"/>
      <c r="B250" s="2"/>
      <c r="C250" s="3"/>
      <c r="D250" s="4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50.1" customHeight="1" spans="1:18" x14ac:dyDescent="0.25">
      <c r="A251" s="114"/>
      <c r="B251" s="2"/>
      <c r="C251" s="3"/>
      <c r="D251" s="4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50.1" customHeight="1" spans="1:18" x14ac:dyDescent="0.25">
      <c r="A252" s="114"/>
      <c r="B252" s="2"/>
      <c r="C252" s="3"/>
      <c r="D252" s="4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50.1" customHeight="1" spans="1:18" x14ac:dyDescent="0.25">
      <c r="A253" s="114"/>
      <c r="B253" s="2"/>
      <c r="C253" s="3"/>
      <c r="D253" s="4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50.1" customHeight="1" spans="1:18" x14ac:dyDescent="0.25">
      <c r="A254" s="114"/>
      <c r="B254" s="2"/>
      <c r="C254" s="3"/>
      <c r="D254" s="4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50.1" customHeight="1" spans="1:18" x14ac:dyDescent="0.25">
      <c r="A255" s="114"/>
      <c r="B255" s="2"/>
      <c r="C255" s="3"/>
      <c r="D255" s="4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50.1" customHeight="1" spans="1:18" x14ac:dyDescent="0.25">
      <c r="A256" s="114"/>
      <c r="B256" s="2"/>
      <c r="C256" s="3"/>
      <c r="D256" s="4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50.1" customHeight="1" spans="1:18" x14ac:dyDescent="0.25">
      <c r="A257" s="114"/>
      <c r="B257" s="2"/>
      <c r="C257" s="3"/>
      <c r="D257" s="4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50.1" customHeight="1" spans="1:18" x14ac:dyDescent="0.25">
      <c r="A258" s="114"/>
      <c r="B258" s="2"/>
      <c r="C258" s="3"/>
      <c r="D258" s="4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50.1" customHeight="1" spans="1:18" x14ac:dyDescent="0.25">
      <c r="A259" s="114"/>
      <c r="B259" s="2"/>
      <c r="C259" s="3"/>
      <c r="D259" s="4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50.1" customHeight="1" spans="1:18" x14ac:dyDescent="0.25">
      <c r="A260" s="114"/>
      <c r="B260" s="2"/>
      <c r="C260" s="3"/>
      <c r="D260" s="4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50.1" customHeight="1" spans="1:18" x14ac:dyDescent="0.25">
      <c r="A261" s="114"/>
      <c r="B261" s="2"/>
      <c r="C261" s="3"/>
      <c r="D261" s="4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50.1" customHeight="1" spans="1:18" x14ac:dyDescent="0.25">
      <c r="A262" s="114"/>
      <c r="B262" s="2"/>
      <c r="C262" s="3"/>
      <c r="D262" s="4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50.1" customHeight="1" spans="1:18" x14ac:dyDescent="0.25">
      <c r="A263" s="114"/>
      <c r="B263" s="2"/>
      <c r="C263" s="3"/>
      <c r="D263" s="4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50.1" customHeight="1" spans="1:18" x14ac:dyDescent="0.25">
      <c r="A264" s="114"/>
      <c r="B264" s="2"/>
      <c r="C264" s="3"/>
      <c r="D264" s="4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50.1" customHeight="1" spans="1:18" x14ac:dyDescent="0.25">
      <c r="A265" s="114"/>
      <c r="B265" s="2"/>
      <c r="C265" s="3"/>
      <c r="D265" s="4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50.1" customHeight="1" spans="1:18" x14ac:dyDescent="0.25">
      <c r="A266" s="114"/>
      <c r="B266" s="2"/>
      <c r="C266" s="3"/>
      <c r="D266" s="4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50.1" customHeight="1" spans="1:18" x14ac:dyDescent="0.25">
      <c r="A267" s="114"/>
      <c r="B267" s="2"/>
      <c r="C267" s="3"/>
      <c r="D267" s="4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50.1" customHeight="1" spans="1:18" x14ac:dyDescent="0.25">
      <c r="A268" s="114"/>
      <c r="B268" s="2"/>
      <c r="C268" s="3"/>
      <c r="D268" s="4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50.1" customHeight="1" spans="1:18" x14ac:dyDescent="0.25">
      <c r="A269" s="114"/>
      <c r="B269" s="2"/>
      <c r="C269" s="3"/>
      <c r="D269" s="4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50.1" customHeight="1" spans="1:18" x14ac:dyDescent="0.25">
      <c r="A270" s="114"/>
      <c r="B270" s="2"/>
      <c r="C270" s="3"/>
      <c r="D270" s="4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50.1" customHeight="1" spans="1:18" x14ac:dyDescent="0.25">
      <c r="A271" s="114"/>
      <c r="B271" s="2"/>
      <c r="C271" s="3"/>
      <c r="D271" s="4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50.1" customHeight="1" spans="1:18" x14ac:dyDescent="0.25">
      <c r="A272" s="114"/>
      <c r="B272" s="2"/>
      <c r="C272" s="3"/>
      <c r="D272" s="4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50.1" customHeight="1" spans="1:18" x14ac:dyDescent="0.25">
      <c r="A273" s="114"/>
      <c r="B273" s="2"/>
      <c r="C273" s="3"/>
      <c r="D273" s="4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50.1" customHeight="1" spans="1:18" x14ac:dyDescent="0.25">
      <c r="A274" s="114"/>
      <c r="B274" s="2"/>
      <c r="C274" s="3"/>
      <c r="D274" s="4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50.1" customHeight="1" spans="1:18" x14ac:dyDescent="0.25">
      <c r="A275" s="114"/>
      <c r="B275" s="2"/>
      <c r="C275" s="3"/>
      <c r="D275" s="4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50.1" customHeight="1" spans="1:18" x14ac:dyDescent="0.25">
      <c r="A276" s="114"/>
      <c r="B276" s="2"/>
      <c r="C276" s="3"/>
      <c r="D276" s="4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50.1" customHeight="1" spans="1:18" x14ac:dyDescent="0.25">
      <c r="A277" s="114"/>
      <c r="B277" s="2"/>
      <c r="C277" s="3"/>
      <c r="D277" s="4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50.1" customHeight="1" spans="1:18" x14ac:dyDescent="0.25">
      <c r="A278" s="114"/>
      <c r="B278" s="2"/>
      <c r="C278" s="3"/>
      <c r="D278" s="4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50.1" customHeight="1" spans="1:18" x14ac:dyDescent="0.25">
      <c r="A279" s="114"/>
      <c r="B279" s="2"/>
      <c r="C279" s="3"/>
      <c r="D279" s="4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50.1" customHeight="1" spans="1:18" x14ac:dyDescent="0.25">
      <c r="A280" s="114"/>
      <c r="B280" s="2"/>
      <c r="C280" s="3"/>
      <c r="D280" s="4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50.1" customHeight="1" spans="1:18" x14ac:dyDescent="0.25">
      <c r="A281" s="114"/>
      <c r="B281" s="2"/>
      <c r="C281" s="3"/>
      <c r="D281" s="4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50.1" customHeight="1" spans="1:18" x14ac:dyDescent="0.25">
      <c r="A282" s="114"/>
      <c r="B282" s="2"/>
      <c r="C282" s="3"/>
      <c r="D282" s="4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50.1" customHeight="1" spans="1:18" x14ac:dyDescent="0.25">
      <c r="A283" s="114"/>
      <c r="B283" s="2"/>
      <c r="C283" s="3"/>
      <c r="D283" s="4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50.1" customHeight="1" spans="1:18" x14ac:dyDescent="0.25">
      <c r="A284" s="114"/>
      <c r="B284" s="2"/>
      <c r="C284" s="3"/>
      <c r="D284" s="4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50.1" customHeight="1" spans="1:18" x14ac:dyDescent="0.25">
      <c r="A285" s="114"/>
      <c r="B285" s="2"/>
      <c r="C285" s="3"/>
      <c r="D285" s="4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50.1" customHeight="1" spans="1:18" x14ac:dyDescent="0.25">
      <c r="A286" s="114"/>
      <c r="B286" s="2"/>
      <c r="C286" s="3"/>
      <c r="D286" s="4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50.1" customHeight="1" spans="1:18" x14ac:dyDescent="0.25">
      <c r="A287" s="114"/>
      <c r="B287" s="2"/>
      <c r="C287" s="3"/>
      <c r="D287" s="4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50.1" customHeight="1" spans="1:18" x14ac:dyDescent="0.25">
      <c r="A288" s="114"/>
      <c r="B288" s="2"/>
      <c r="C288" s="3"/>
      <c r="D288" s="4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50.1" customHeight="1" spans="1:18" x14ac:dyDescent="0.25">
      <c r="A289" s="114"/>
      <c r="B289" s="2"/>
      <c r="C289" s="3"/>
      <c r="D289" s="4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50.1" customHeight="1" spans="1:18" x14ac:dyDescent="0.25">
      <c r="A290" s="114"/>
      <c r="B290" s="2"/>
      <c r="C290" s="3"/>
      <c r="D290" s="4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50.1" customHeight="1" spans="1:18" x14ac:dyDescent="0.25">
      <c r="A291" s="114"/>
      <c r="B291" s="2"/>
      <c r="C291" s="3"/>
      <c r="D291" s="4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50.1" customHeight="1" spans="1:18" x14ac:dyDescent="0.25">
      <c r="A292" s="114"/>
      <c r="B292" s="2"/>
      <c r="C292" s="3"/>
      <c r="D292" s="4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50.1" customHeight="1" spans="1:18" x14ac:dyDescent="0.25">
      <c r="A293" s="114"/>
      <c r="B293" s="2"/>
      <c r="C293" s="3"/>
      <c r="D293" s="4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50.1" customHeight="1" spans="1:18" x14ac:dyDescent="0.25">
      <c r="A294" s="114"/>
      <c r="B294" s="2"/>
      <c r="C294" s="3"/>
      <c r="D294" s="4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50.1" customHeight="1" spans="1:18" x14ac:dyDescent="0.25">
      <c r="A295" s="114"/>
      <c r="B295" s="2"/>
      <c r="C295" s="3"/>
      <c r="D295" s="4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50.1" customHeight="1" spans="1:18" x14ac:dyDescent="0.25">
      <c r="A296" s="114"/>
      <c r="B296" s="2"/>
      <c r="C296" s="3"/>
      <c r="D296" s="4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50.1" customHeight="1" spans="1:18" x14ac:dyDescent="0.25">
      <c r="A297" s="114"/>
      <c r="B297" s="2"/>
      <c r="C297" s="3"/>
      <c r="D297" s="4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50.1" customHeight="1" spans="1:18" x14ac:dyDescent="0.25">
      <c r="A298" s="114"/>
      <c r="B298" s="2"/>
      <c r="C298" s="3"/>
      <c r="D298" s="4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50.1" customHeight="1" spans="1:18" x14ac:dyDescent="0.25">
      <c r="A299" s="114"/>
      <c r="B299" s="2"/>
      <c r="C299" s="3"/>
      <c r="D299" s="4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50.1" customHeight="1" spans="1:18" x14ac:dyDescent="0.25">
      <c r="A300" s="114"/>
      <c r="B300" s="2"/>
      <c r="C300" s="3"/>
      <c r="D300" s="4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50.1" customHeight="1" spans="1:18" x14ac:dyDescent="0.25">
      <c r="A301" s="114"/>
      <c r="B301" s="2"/>
      <c r="C301" s="3"/>
      <c r="D301" s="4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50.1" customHeight="1" spans="1:18" x14ac:dyDescent="0.25">
      <c r="A302" s="114"/>
      <c r="B302" s="2"/>
      <c r="C302" s="3"/>
      <c r="D302" s="4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50.1" customHeight="1" spans="1:18" x14ac:dyDescent="0.25">
      <c r="A303" s="114"/>
      <c r="B303" s="2"/>
      <c r="C303" s="3"/>
      <c r="D303" s="4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50.1" customHeight="1" spans="1:18" x14ac:dyDescent="0.25">
      <c r="A304" s="114"/>
      <c r="B304" s="2"/>
      <c r="C304" s="3"/>
      <c r="D304" s="4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50.1" customHeight="1" spans="1:18" x14ac:dyDescent="0.25">
      <c r="A305" s="114"/>
      <c r="B305" s="2"/>
      <c r="C305" s="3"/>
      <c r="D305" s="4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50.1" customHeight="1" spans="1:18" x14ac:dyDescent="0.25">
      <c r="A306" s="114"/>
      <c r="B306" s="2"/>
      <c r="C306" s="3"/>
      <c r="D306" s="4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50.1" customHeight="1" spans="1:18" x14ac:dyDescent="0.25">
      <c r="A307" s="114"/>
      <c r="B307" s="2"/>
      <c r="C307" s="3"/>
      <c r="D307" s="4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50.1" customHeight="1" spans="1:18" x14ac:dyDescent="0.25">
      <c r="A308" s="114"/>
      <c r="B308" s="2"/>
      <c r="C308" s="3"/>
      <c r="D308" s="4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50.1" customHeight="1" spans="1:18" x14ac:dyDescent="0.25">
      <c r="A309" s="114"/>
      <c r="B309" s="2"/>
      <c r="C309" s="3"/>
      <c r="D309" s="4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50.1" customHeight="1" spans="1:18" x14ac:dyDescent="0.25">
      <c r="A310" s="114"/>
      <c r="B310" s="2"/>
      <c r="C310" s="3"/>
      <c r="D310" s="4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50.1" customHeight="1" spans="1:18" x14ac:dyDescent="0.25">
      <c r="A311" s="114"/>
      <c r="B311" s="2"/>
      <c r="C311" s="3"/>
      <c r="D311" s="4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50.1" customHeight="1" spans="1:18" x14ac:dyDescent="0.25">
      <c r="A312" s="114"/>
      <c r="B312" s="2"/>
      <c r="C312" s="3"/>
      <c r="D312" s="4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50.1" customHeight="1" spans="1:18" x14ac:dyDescent="0.25">
      <c r="A313" s="114"/>
      <c r="B313" s="2"/>
      <c r="C313" s="3"/>
      <c r="D313" s="4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50.1" customHeight="1" spans="1:18" x14ac:dyDescent="0.25">
      <c r="A314" s="114"/>
      <c r="B314" s="2"/>
      <c r="C314" s="3"/>
      <c r="D314" s="4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50.1" customHeight="1" spans="1:18" x14ac:dyDescent="0.25">
      <c r="A315" s="114"/>
      <c r="B315" s="2"/>
      <c r="C315" s="3"/>
      <c r="D315" s="4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50.1" customHeight="1" spans="1:18" x14ac:dyDescent="0.25">
      <c r="A316" s="114"/>
      <c r="B316" s="2"/>
      <c r="C316" s="3"/>
      <c r="D316" s="4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50.1" customHeight="1" spans="1:18" x14ac:dyDescent="0.25">
      <c r="A317" s="114"/>
      <c r="B317" s="2"/>
      <c r="C317" s="3"/>
      <c r="D317" s="4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50.1" customHeight="1" spans="1:18" x14ac:dyDescent="0.25">
      <c r="A318" s="114"/>
      <c r="B318" s="2"/>
      <c r="C318" s="3"/>
      <c r="D318" s="4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50.1" customHeight="1" spans="1:18" x14ac:dyDescent="0.25">
      <c r="A319" s="114"/>
      <c r="B319" s="2"/>
      <c r="C319" s="3"/>
      <c r="D319" s="4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50.1" customHeight="1" spans="1:18" x14ac:dyDescent="0.25">
      <c r="A320" s="114"/>
      <c r="B320" s="2"/>
      <c r="C320" s="3"/>
      <c r="D320" s="4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50.1" customHeight="1" spans="1:18" x14ac:dyDescent="0.25">
      <c r="A321" s="114"/>
      <c r="B321" s="2"/>
      <c r="C321" s="3"/>
      <c r="D321" s="4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50.1" customHeight="1" spans="1:18" x14ac:dyDescent="0.25">
      <c r="A322" s="114"/>
      <c r="B322" s="2"/>
      <c r="C322" s="3"/>
      <c r="D322" s="4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50.1" customHeight="1" spans="1:18" x14ac:dyDescent="0.25">
      <c r="A323" s="114"/>
      <c r="B323" s="2"/>
      <c r="C323" s="3"/>
      <c r="D323" s="4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50.1" customHeight="1" spans="1:18" x14ac:dyDescent="0.25">
      <c r="A324" s="114"/>
      <c r="B324" s="2"/>
      <c r="C324" s="3"/>
      <c r="D324" s="4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50.1" customHeight="1" spans="1:18" x14ac:dyDescent="0.25">
      <c r="A325" s="114"/>
      <c r="B325" s="2"/>
      <c r="C325" s="3"/>
      <c r="D325" s="4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50.1" customHeight="1" spans="1:18" x14ac:dyDescent="0.25">
      <c r="A326" s="114"/>
      <c r="B326" s="2"/>
      <c r="C326" s="3"/>
      <c r="D326" s="4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50.1" customHeight="1" spans="1:18" x14ac:dyDescent="0.25">
      <c r="A327" s="114"/>
      <c r="B327" s="2"/>
      <c r="C327" s="3"/>
      <c r="D327" s="4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50.1" customHeight="1" spans="1:18" x14ac:dyDescent="0.25">
      <c r="A328" s="114"/>
      <c r="B328" s="2"/>
      <c r="C328" s="3"/>
      <c r="D328" s="4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50.1" customHeight="1" spans="1:18" x14ac:dyDescent="0.25">
      <c r="A329" s="114"/>
      <c r="B329" s="2"/>
      <c r="C329" s="3"/>
      <c r="D329" s="4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50.1" customHeight="1" spans="1:18" x14ac:dyDescent="0.25">
      <c r="A330" s="114"/>
      <c r="B330" s="2"/>
      <c r="C330" s="3"/>
      <c r="D330" s="4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50.1" customHeight="1" spans="1:18" x14ac:dyDescent="0.25">
      <c r="A331" s="114"/>
      <c r="B331" s="2"/>
      <c r="C331" s="3"/>
      <c r="D331" s="4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50.1" customHeight="1" spans="1:18" x14ac:dyDescent="0.25">
      <c r="A332" s="114"/>
      <c r="B332" s="2"/>
      <c r="C332" s="3"/>
      <c r="D332" s="4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50.1" customHeight="1" spans="1:18" x14ac:dyDescent="0.25">
      <c r="A333" s="114"/>
      <c r="B333" s="2"/>
      <c r="C333" s="3"/>
      <c r="D333" s="4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50.1" customHeight="1" spans="1:18" x14ac:dyDescent="0.25">
      <c r="A334" s="114"/>
      <c r="B334" s="2"/>
      <c r="C334" s="3"/>
      <c r="D334" s="4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50.1" customHeight="1" spans="1:18" x14ac:dyDescent="0.25">
      <c r="A335" s="114"/>
      <c r="B335" s="2"/>
      <c r="C335" s="3"/>
      <c r="D335" s="4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50.1" customHeight="1" spans="1:18" x14ac:dyDescent="0.25">
      <c r="A336" s="114"/>
      <c r="B336" s="2"/>
      <c r="C336" s="3"/>
      <c r="D336" s="4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50.1" customHeight="1" spans="1:18" x14ac:dyDescent="0.25">
      <c r="A337" s="114"/>
      <c r="B337" s="2"/>
      <c r="C337" s="3"/>
      <c r="D337" s="4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50.1" customHeight="1" spans="1:18" x14ac:dyDescent="0.25">
      <c r="A338" s="114"/>
      <c r="B338" s="2"/>
      <c r="C338" s="3"/>
      <c r="D338" s="4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50.1" customHeight="1" spans="1:18" x14ac:dyDescent="0.25">
      <c r="A339" s="114"/>
      <c r="B339" s="2"/>
      <c r="C339" s="3"/>
      <c r="D339" s="4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50.1" customHeight="1" spans="1:18" x14ac:dyDescent="0.25">
      <c r="A340" s="114"/>
      <c r="B340" s="2"/>
      <c r="C340" s="3"/>
      <c r="D340" s="4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50.1" customHeight="1" spans="1:18" x14ac:dyDescent="0.25">
      <c r="A341" s="114"/>
      <c r="B341" s="2"/>
      <c r="C341" s="3"/>
      <c r="D341" s="4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50.1" customHeight="1" spans="1:18" x14ac:dyDescent="0.25">
      <c r="A342" s="114"/>
      <c r="B342" s="2"/>
      <c r="C342" s="3"/>
      <c r="D342" s="4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50.1" customHeight="1" spans="1:18" x14ac:dyDescent="0.25">
      <c r="A343" s="114"/>
      <c r="B343" s="2"/>
      <c r="C343" s="3"/>
      <c r="D343" s="4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50.1" customHeight="1" spans="1:18" x14ac:dyDescent="0.25">
      <c r="A344" s="114"/>
      <c r="B344" s="2"/>
      <c r="C344" s="3"/>
      <c r="D344" s="4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50.1" customHeight="1" spans="1:18" x14ac:dyDescent="0.25">
      <c r="A345" s="114"/>
      <c r="B345" s="2"/>
      <c r="C345" s="3"/>
      <c r="D345" s="4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50.1" customHeight="1" spans="1:18" x14ac:dyDescent="0.25">
      <c r="A346" s="114"/>
      <c r="B346" s="2"/>
      <c r="C346" s="3"/>
      <c r="D346" s="4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50.1" customHeight="1" spans="1:18" x14ac:dyDescent="0.25">
      <c r="A347" s="114"/>
      <c r="B347" s="2"/>
      <c r="C347" s="3"/>
      <c r="D347" s="4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50.1" customHeight="1" spans="1:18" x14ac:dyDescent="0.25">
      <c r="A348" s="114"/>
      <c r="B348" s="2"/>
      <c r="C348" s="3"/>
      <c r="D348" s="4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50.1" customHeight="1" spans="1:18" x14ac:dyDescent="0.25">
      <c r="A349" s="114"/>
      <c r="B349" s="2"/>
      <c r="C349" s="3"/>
      <c r="D349" s="4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50.1" customHeight="1" spans="1:18" x14ac:dyDescent="0.25">
      <c r="A350" s="114"/>
      <c r="B350" s="2"/>
      <c r="C350" s="3"/>
      <c r="D350" s="4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50.1" customHeight="1" spans="1:18" x14ac:dyDescent="0.25">
      <c r="A351" s="114"/>
      <c r="B351" s="2"/>
      <c r="C351" s="3"/>
      <c r="D351" s="4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50.1" customHeight="1" spans="1:18" x14ac:dyDescent="0.25">
      <c r="A352" s="114"/>
      <c r="B352" s="2"/>
      <c r="C352" s="3"/>
      <c r="D352" s="4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50.1" customHeight="1" spans="1:18" x14ac:dyDescent="0.25">
      <c r="A353" s="114"/>
      <c r="B353" s="2"/>
      <c r="C353" s="3"/>
      <c r="D353" s="4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50.1" customHeight="1" spans="1:18" x14ac:dyDescent="0.25">
      <c r="A354" s="114"/>
      <c r="B354" s="2"/>
      <c r="C354" s="3"/>
      <c r="D354" s="4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50.1" customHeight="1" spans="1:18" x14ac:dyDescent="0.25">
      <c r="A355" s="114"/>
      <c r="B355" s="2"/>
      <c r="C355" s="3"/>
      <c r="D355" s="4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50.1" customHeight="1" spans="1:18" x14ac:dyDescent="0.25">
      <c r="A356" s="114"/>
      <c r="B356" s="2"/>
      <c r="C356" s="3"/>
      <c r="D356" s="4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50.1" customHeight="1" spans="1:18" x14ac:dyDescent="0.25">
      <c r="A357" s="114"/>
      <c r="B357" s="2"/>
      <c r="C357" s="3"/>
      <c r="D357" s="4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50.1" customHeight="1" spans="1:18" x14ac:dyDescent="0.25">
      <c r="A358" s="114"/>
      <c r="B358" s="2"/>
      <c r="C358" s="3"/>
      <c r="D358" s="4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50.1" customHeight="1" spans="1:18" x14ac:dyDescent="0.25">
      <c r="A359" s="114"/>
      <c r="B359" s="2"/>
      <c r="C359" s="3"/>
      <c r="D359" s="4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50.1" customHeight="1" spans="1:18" x14ac:dyDescent="0.25">
      <c r="A360" s="114"/>
      <c r="B360" s="2"/>
      <c r="C360" s="3"/>
      <c r="D360" s="4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50.1" customHeight="1" spans="1:18" x14ac:dyDescent="0.25">
      <c r="A361" s="114"/>
      <c r="B361" s="2"/>
      <c r="C361" s="3"/>
      <c r="D361" s="4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50.1" customHeight="1" spans="1:18" x14ac:dyDescent="0.25">
      <c r="A362" s="114"/>
      <c r="B362" s="2"/>
      <c r="C362" s="3"/>
      <c r="D362" s="4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50.1" customHeight="1" spans="1:18" x14ac:dyDescent="0.25">
      <c r="A363" s="114"/>
      <c r="B363" s="2"/>
      <c r="C363" s="3"/>
      <c r="D363" s="4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50.1" customHeight="1" spans="1:18" x14ac:dyDescent="0.25">
      <c r="A364" s="114"/>
      <c r="B364" s="2"/>
      <c r="C364" s="3"/>
      <c r="D364" s="4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50.1" customHeight="1" spans="1:18" x14ac:dyDescent="0.25">
      <c r="A365" s="114"/>
      <c r="B365" s="2"/>
      <c r="C365" s="3"/>
      <c r="D365" s="4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50.1" customHeight="1" spans="1:18" x14ac:dyDescent="0.25">
      <c r="A366" s="114"/>
      <c r="B366" s="2"/>
      <c r="C366" s="3"/>
      <c r="D366" s="4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50.1" customHeight="1" spans="1:18" x14ac:dyDescent="0.25">
      <c r="A367" s="114"/>
      <c r="B367" s="2"/>
      <c r="C367" s="3"/>
      <c r="D367" s="4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50.1" customHeight="1" spans="1:18" x14ac:dyDescent="0.25">
      <c r="A368" s="114"/>
      <c r="B368" s="2"/>
      <c r="C368" s="3"/>
      <c r="D368" s="4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50.1" customHeight="1" spans="1:18" x14ac:dyDescent="0.25">
      <c r="A369" s="114"/>
      <c r="B369" s="2"/>
      <c r="C369" s="3"/>
      <c r="D369" s="4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50.1" customHeight="1" spans="1:18" x14ac:dyDescent="0.25">
      <c r="A370" s="114"/>
      <c r="B370" s="2"/>
      <c r="C370" s="3"/>
      <c r="D370" s="4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50.1" customHeight="1" spans="1:18" x14ac:dyDescent="0.25">
      <c r="A371" s="114"/>
      <c r="B371" s="2"/>
      <c r="C371" s="3"/>
      <c r="D371" s="4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50.1" customHeight="1" spans="1:18" x14ac:dyDescent="0.25">
      <c r="A372" s="114"/>
      <c r="B372" s="2"/>
      <c r="C372" s="3"/>
      <c r="D372" s="4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50.1" customHeight="1" spans="1:18" x14ac:dyDescent="0.25">
      <c r="A373" s="114"/>
      <c r="B373" s="2"/>
      <c r="C373" s="3"/>
      <c r="D373" s="4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50.1" customHeight="1" spans="1:18" x14ac:dyDescent="0.25">
      <c r="A374" s="114"/>
      <c r="B374" s="2"/>
      <c r="C374" s="3"/>
      <c r="D374" s="4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50.1" customHeight="1" spans="1:18" x14ac:dyDescent="0.25">
      <c r="A375" s="114"/>
      <c r="B375" s="2"/>
      <c r="C375" s="3"/>
      <c r="D375" s="4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50.1" customHeight="1" spans="1:18" x14ac:dyDescent="0.25">
      <c r="A376" s="114"/>
      <c r="B376" s="2"/>
      <c r="C376" s="3"/>
      <c r="D376" s="4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50.1" customHeight="1" spans="1:18" x14ac:dyDescent="0.25">
      <c r="A377" s="114"/>
      <c r="B377" s="2"/>
      <c r="C377" s="3"/>
      <c r="D377" s="4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50.1" customHeight="1" spans="1:18" x14ac:dyDescent="0.25">
      <c r="A378" s="114"/>
      <c r="B378" s="2"/>
      <c r="C378" s="3"/>
      <c r="D378" s="4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50.1" customHeight="1" spans="1:18" x14ac:dyDescent="0.25">
      <c r="A379" s="114"/>
      <c r="B379" s="2"/>
      <c r="C379" s="3"/>
      <c r="D379" s="4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50.1" customHeight="1" spans="1:18" x14ac:dyDescent="0.25">
      <c r="A380" s="114"/>
      <c r="B380" s="2"/>
      <c r="C380" s="3"/>
      <c r="D380" s="4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50.1" customHeight="1" spans="1:18" x14ac:dyDescent="0.25">
      <c r="A381" s="114"/>
      <c r="B381" s="2"/>
      <c r="C381" s="3"/>
      <c r="D381" s="4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50.1" customHeight="1" spans="1:18" x14ac:dyDescent="0.25">
      <c r="A382" s="114"/>
      <c r="B382" s="2"/>
      <c r="C382" s="3"/>
      <c r="D382" s="4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50.1" customHeight="1" spans="1:18" x14ac:dyDescent="0.25">
      <c r="A383" s="114"/>
      <c r="B383" s="2"/>
      <c r="C383" s="3"/>
      <c r="D383" s="4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50.1" customHeight="1" spans="1:18" x14ac:dyDescent="0.25">
      <c r="A384" s="114"/>
      <c r="B384" s="2"/>
      <c r="C384" s="3"/>
      <c r="D384" s="4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50.1" customHeight="1" spans="1:18" x14ac:dyDescent="0.25">
      <c r="A385" s="114"/>
      <c r="B385" s="2"/>
      <c r="C385" s="3"/>
      <c r="D385" s="4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50.1" customHeight="1" spans="1:18" x14ac:dyDescent="0.25">
      <c r="A386" s="114"/>
      <c r="B386" s="2"/>
      <c r="C386" s="3"/>
      <c r="D386" s="4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50.1" customHeight="1" spans="1:18" x14ac:dyDescent="0.25">
      <c r="A387" s="114"/>
      <c r="B387" s="2"/>
      <c r="C387" s="3"/>
      <c r="D387" s="4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50.1" customHeight="1" spans="1:18" x14ac:dyDescent="0.25">
      <c r="A388" s="114"/>
      <c r="B388" s="2"/>
      <c r="C388" s="3"/>
      <c r="D388" s="4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50.1" customHeight="1" spans="1:18" x14ac:dyDescent="0.25">
      <c r="A389" s="114"/>
      <c r="B389" s="2"/>
      <c r="C389" s="3"/>
      <c r="D389" s="4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50.1" customHeight="1" spans="1:18" x14ac:dyDescent="0.25">
      <c r="A390" s="114"/>
      <c r="B390" s="2"/>
      <c r="C390" s="3"/>
      <c r="D390" s="4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50.1" customHeight="1" spans="1:18" x14ac:dyDescent="0.25">
      <c r="A391" s="114"/>
      <c r="B391" s="2"/>
      <c r="C391" s="3"/>
      <c r="D391" s="4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50.1" customHeight="1" spans="1:18" x14ac:dyDescent="0.25">
      <c r="A392" s="114"/>
      <c r="B392" s="2"/>
      <c r="C392" s="3"/>
      <c r="D392" s="4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50.1" customHeight="1" spans="1:18" x14ac:dyDescent="0.25">
      <c r="A393" s="114"/>
      <c r="B393" s="2"/>
      <c r="C393" s="3"/>
      <c r="D393" s="4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50.1" customHeight="1" spans="1:18" x14ac:dyDescent="0.25">
      <c r="A394" s="114"/>
      <c r="B394" s="2"/>
      <c r="C394" s="3"/>
      <c r="D394" s="4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50.1" customHeight="1" spans="1:18" x14ac:dyDescent="0.25">
      <c r="A395" s="114"/>
      <c r="B395" s="2"/>
      <c r="C395" s="3"/>
      <c r="D395" s="4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50.1" customHeight="1" spans="1:18" x14ac:dyDescent="0.25">
      <c r="A396" s="114"/>
      <c r="B396" s="2"/>
      <c r="C396" s="3"/>
      <c r="D396" s="4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50.1" customHeight="1" spans="1:18" x14ac:dyDescent="0.25">
      <c r="A397" s="114"/>
      <c r="B397" s="2"/>
      <c r="C397" s="3"/>
      <c r="D397" s="4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50.1" customHeight="1" spans="1:18" x14ac:dyDescent="0.25">
      <c r="A398" s="114"/>
      <c r="B398" s="2"/>
      <c r="C398" s="3"/>
      <c r="D398" s="4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50.1" customHeight="1" spans="1:18" x14ac:dyDescent="0.25">
      <c r="A399" s="114"/>
      <c r="B399" s="2"/>
      <c r="C399" s="3"/>
      <c r="D399" s="4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50.1" customHeight="1" spans="1:18" x14ac:dyDescent="0.25">
      <c r="A400" s="114"/>
      <c r="B400" s="2"/>
      <c r="C400" s="3"/>
      <c r="D400" s="4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50.1" customHeight="1" spans="1:18" x14ac:dyDescent="0.25">
      <c r="A401" s="114"/>
      <c r="B401" s="2"/>
      <c r="C401" s="3"/>
      <c r="D401" s="4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50.1" customHeight="1" spans="1:18" x14ac:dyDescent="0.25">
      <c r="A402" s="114"/>
      <c r="B402" s="2"/>
      <c r="C402" s="3"/>
      <c r="D402" s="4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50.1" customHeight="1" spans="1:18" x14ac:dyDescent="0.25">
      <c r="A403" s="114"/>
      <c r="B403" s="2"/>
      <c r="C403" s="3"/>
      <c r="D403" s="4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50.1" customHeight="1" spans="1:18" x14ac:dyDescent="0.25">
      <c r="A404" s="114"/>
      <c r="B404" s="2"/>
      <c r="C404" s="3"/>
      <c r="D404" s="4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50.1" customHeight="1" spans="1:18" x14ac:dyDescent="0.25">
      <c r="A405" s="114"/>
      <c r="B405" s="2"/>
      <c r="C405" s="3"/>
      <c r="D405" s="4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50.1" customHeight="1" spans="1:18" x14ac:dyDescent="0.25">
      <c r="A406" s="114"/>
      <c r="B406" s="2"/>
      <c r="C406" s="3"/>
      <c r="D406" s="4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50.1" customHeight="1" spans="1:18" x14ac:dyDescent="0.25">
      <c r="A407" s="114"/>
      <c r="B407" s="2"/>
      <c r="C407" s="3"/>
      <c r="D407" s="4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50.1" customHeight="1" spans="1:18" x14ac:dyDescent="0.25">
      <c r="A408" s="114"/>
      <c r="B408" s="2"/>
      <c r="C408" s="3"/>
      <c r="D408" s="4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50.1" customHeight="1" spans="1:18" x14ac:dyDescent="0.25">
      <c r="A409" s="114"/>
      <c r="B409" s="2"/>
      <c r="C409" s="3"/>
      <c r="D409" s="4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50.1" customHeight="1" spans="1:18" x14ac:dyDescent="0.25">
      <c r="A410" s="114"/>
      <c r="B410" s="2"/>
      <c r="C410" s="3"/>
      <c r="D410" s="4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50.1" customHeight="1" spans="1:18" x14ac:dyDescent="0.25">
      <c r="A411" s="114"/>
      <c r="B411" s="2"/>
      <c r="C411" s="3"/>
      <c r="D411" s="4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50.1" customHeight="1" spans="1:18" x14ac:dyDescent="0.25">
      <c r="A412" s="114"/>
      <c r="B412" s="2"/>
      <c r="C412" s="3"/>
      <c r="D412" s="4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50.1" customHeight="1" spans="1:18" x14ac:dyDescent="0.25">
      <c r="A413" s="114"/>
      <c r="B413" s="2"/>
      <c r="C413" s="3"/>
      <c r="D413" s="4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50.1" customHeight="1" spans="1:18" x14ac:dyDescent="0.25">
      <c r="A414" s="114"/>
      <c r="B414" s="2"/>
      <c r="C414" s="3"/>
      <c r="D414" s="4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50.1" customHeight="1" spans="1:18" x14ac:dyDescent="0.25">
      <c r="A415" s="114"/>
      <c r="B415" s="2"/>
      <c r="C415" s="3"/>
      <c r="D415" s="4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50.1" customHeight="1" spans="1:18" x14ac:dyDescent="0.25">
      <c r="A416" s="114"/>
      <c r="B416" s="2"/>
      <c r="C416" s="3"/>
      <c r="D416" s="4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50.1" customHeight="1" spans="1:18" x14ac:dyDescent="0.25">
      <c r="A417" s="114"/>
      <c r="B417" s="2"/>
      <c r="C417" s="3"/>
      <c r="D417" s="4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50.1" customHeight="1" spans="1:18" x14ac:dyDescent="0.25">
      <c r="A418" s="114"/>
      <c r="B418" s="2"/>
      <c r="C418" s="3"/>
      <c r="D418" s="4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50.1" customHeight="1" spans="1:18" x14ac:dyDescent="0.25">
      <c r="A419" s="114"/>
      <c r="B419" s="2"/>
      <c r="C419" s="3"/>
      <c r="D419" s="4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50.1" customHeight="1" spans="1:18" x14ac:dyDescent="0.25">
      <c r="A420" s="114"/>
      <c r="B420" s="2"/>
      <c r="C420" s="3"/>
      <c r="D420" s="4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50.1" customHeight="1" spans="1:18" x14ac:dyDescent="0.25">
      <c r="A421" s="114"/>
      <c r="B421" s="2"/>
      <c r="C421" s="3"/>
      <c r="D421" s="4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50.1" customHeight="1" spans="1:18" x14ac:dyDescent="0.25">
      <c r="A422" s="114"/>
      <c r="B422" s="2"/>
      <c r="C422" s="3"/>
      <c r="D422" s="4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50.1" customHeight="1" spans="1:18" x14ac:dyDescent="0.25">
      <c r="A423" s="114"/>
      <c r="B423" s="2"/>
      <c r="C423" s="3"/>
      <c r="D423" s="4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50.1" customHeight="1" spans="1:18" x14ac:dyDescent="0.25">
      <c r="A424" s="114"/>
      <c r="B424" s="2"/>
      <c r="C424" s="3"/>
      <c r="D424" s="4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50.1" customHeight="1" spans="1:18" x14ac:dyDescent="0.25">
      <c r="A425" s="114"/>
      <c r="B425" s="2"/>
      <c r="C425" s="3"/>
      <c r="D425" s="4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50.1" customHeight="1" spans="1:18" x14ac:dyDescent="0.25">
      <c r="A426" s="114"/>
      <c r="B426" s="2"/>
      <c r="C426" s="3"/>
      <c r="D426" s="4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50.1" customHeight="1" spans="1:18" x14ac:dyDescent="0.25">
      <c r="A427" s="114"/>
      <c r="B427" s="2"/>
      <c r="C427" s="3"/>
      <c r="D427" s="4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50.1" customHeight="1" spans="1:18" x14ac:dyDescent="0.25">
      <c r="A428" s="114"/>
      <c r="B428" s="2"/>
      <c r="C428" s="3"/>
      <c r="D428" s="4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50.1" customHeight="1" spans="1:18" x14ac:dyDescent="0.25">
      <c r="A429" s="114"/>
      <c r="B429" s="2"/>
      <c r="C429" s="3"/>
      <c r="D429" s="4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50.1" customHeight="1" spans="1:18" x14ac:dyDescent="0.25">
      <c r="A430" s="114"/>
      <c r="B430" s="2"/>
      <c r="C430" s="3"/>
      <c r="D430" s="4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50.1" customHeight="1" spans="1:18" x14ac:dyDescent="0.25">
      <c r="A431" s="114"/>
      <c r="B431" s="2"/>
      <c r="C431" s="3"/>
      <c r="D431" s="4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50.1" customHeight="1" spans="1:18" x14ac:dyDescent="0.25">
      <c r="A432" s="114"/>
      <c r="B432" s="2"/>
      <c r="C432" s="3"/>
      <c r="D432" s="4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50.1" customHeight="1" spans="1:18" x14ac:dyDescent="0.25">
      <c r="A433" s="114"/>
      <c r="B433" s="2"/>
      <c r="C433" s="3"/>
      <c r="D433" s="4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50.1" customHeight="1" spans="1:18" x14ac:dyDescent="0.25">
      <c r="A434" s="114"/>
      <c r="B434" s="2"/>
      <c r="C434" s="3"/>
      <c r="D434" s="4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50.1" customHeight="1" spans="1:18" x14ac:dyDescent="0.25">
      <c r="A435" s="114"/>
      <c r="B435" s="2"/>
      <c r="C435" s="3"/>
      <c r="D435" s="4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50.1" customHeight="1" spans="1:18" x14ac:dyDescent="0.25">
      <c r="A436" s="114"/>
      <c r="B436" s="2"/>
      <c r="C436" s="3"/>
      <c r="D436" s="4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50.1" customHeight="1" spans="1:18" x14ac:dyDescent="0.25">
      <c r="A437" s="114"/>
      <c r="B437" s="2"/>
      <c r="C437" s="3"/>
      <c r="D437" s="4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50.1" customHeight="1" spans="1:18" x14ac:dyDescent="0.25">
      <c r="A438" s="114"/>
      <c r="B438" s="2"/>
      <c r="C438" s="3"/>
      <c r="D438" s="4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50.1" customHeight="1" spans="1:18" x14ac:dyDescent="0.25">
      <c r="A439" s="114"/>
      <c r="B439" s="2"/>
      <c r="C439" s="3"/>
      <c r="D439" s="4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50.1" customHeight="1" spans="1:18" x14ac:dyDescent="0.25">
      <c r="A440" s="114"/>
      <c r="B440" s="2"/>
      <c r="C440" s="3"/>
      <c r="D440" s="4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50.1" customHeight="1" spans="1:18" x14ac:dyDescent="0.25">
      <c r="A441" s="114"/>
      <c r="B441" s="2"/>
      <c r="C441" s="3"/>
      <c r="D441" s="4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50.1" customHeight="1" spans="1:18" x14ac:dyDescent="0.25">
      <c r="A442" s="114"/>
      <c r="B442" s="2"/>
      <c r="C442" s="3"/>
      <c r="D442" s="4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</sheetData>
  <mergeCells count="4">
    <mergeCell ref="B1:R1"/>
    <mergeCell ref="B2:R2"/>
    <mergeCell ref="F4:R4"/>
    <mergeCell ref="B84:E84"/>
  </mergeCells>
  <printOptions horizontalCentered="1"/>
  <pageMargins left="0.25" right="0.25" top="0.4" bottom="0.4" header="0.2" footer="0.2"/>
  <pageSetup paperSize="9" orientation="landscape" horizontalDpi="4294967295" verticalDpi="4294967295" scale="37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45" customWidth="1"/>
    <col min="2" max="2" width="35" customWidth="1"/>
    <col min="3" max="3" width="20" customWidth="1"/>
    <col min="4" max="4" width="24" customWidth="1"/>
  </cols>
  <sheetData>
    <row r="1" spans="1:4" s="115" customFormat="1" x14ac:dyDescent="0.25">
      <c r="A1" s="115" t="s">
        <v>122</v>
      </c>
      <c r="B1" s="115" t="s">
        <v>123</v>
      </c>
      <c r="C1" s="115" t="s">
        <v>124</v>
      </c>
      <c r="D1" s="115" t="s">
        <v>125</v>
      </c>
    </row>
    <row r="2" spans="1:4" x14ac:dyDescent="0.25">
      <c r="A2" t="s">
        <v>126</v>
      </c>
      <c r="B2" t="s">
        <v>127</v>
      </c>
      <c r="C2" t="s">
        <v>128</v>
      </c>
      <c r="D2" t="s">
        <v>129</v>
      </c>
    </row>
    <row r="3" spans="1:4" x14ac:dyDescent="0.25">
      <c r="A3" t="s">
        <v>130</v>
      </c>
      <c r="B3" t="s">
        <v>131</v>
      </c>
      <c r="C3" t="s">
        <v>132</v>
      </c>
      <c r="D3" t="s">
        <v>133</v>
      </c>
    </row>
    <row r="4" spans="1:4" x14ac:dyDescent="0.25">
      <c r="A4" t="s">
        <v>130</v>
      </c>
      <c r="B4" t="s">
        <v>134</v>
      </c>
      <c r="C4" t="s">
        <v>135</v>
      </c>
      <c r="D4" t="s">
        <v>136</v>
      </c>
    </row>
    <row r="5" spans="1:4" x14ac:dyDescent="0.25">
      <c r="A5" t="s">
        <v>130</v>
      </c>
      <c r="B5" t="s">
        <v>137</v>
      </c>
      <c r="C5" t="s">
        <v>138</v>
      </c>
      <c r="D5" t="s">
        <v>139</v>
      </c>
    </row>
    <row r="6" spans="1:4" x14ac:dyDescent="0.25">
      <c r="A6" t="s">
        <v>140</v>
      </c>
      <c r="B6" t="s">
        <v>141</v>
      </c>
      <c r="C6" t="s">
        <v>142</v>
      </c>
      <c r="D6" t="s">
        <v>143</v>
      </c>
    </row>
  </sheetData>
  <autoFilter ref="A1:D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26.6.2026</vt:lpstr>
      <vt:lpstr>Unmapped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Lee</dc:creator>
  <cp:lastModifiedBy>Wan Lee</cp:lastModifiedBy>
  <dcterms:created xsi:type="dcterms:W3CDTF">2026-06-03T13:10:57Z</dcterms:created>
  <dcterms:modified xsi:type="dcterms:W3CDTF">2026-06-04T16:05:03Z</dcterms:modified>
</cp:coreProperties>
</file>